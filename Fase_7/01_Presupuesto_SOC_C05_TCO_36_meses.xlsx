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972506b33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36fb55626704668"/>
    <x:sheet xmlns:r="http://schemas.openxmlformats.org/officeDocument/2006/relationships" name="CAPEX" sheetId="2" r:id="R43cf792d6dbf4fa8"/>
    <x:sheet xmlns:r="http://schemas.openxmlformats.org/officeDocument/2006/relationships" name="OPEX" sheetId="3" r:id="R110a4d47994d4554"/>
    <x:sheet xmlns:r="http://schemas.openxmlformats.org/officeDocument/2006/relationships" name="Fuentes_y_Supuestos" sheetId="4" r:id="R94434b8558f44f98"/>
    <x:sheet xmlns:r="http://schemas.openxmlformats.org/officeDocument/2006/relationships" name="Cronograma_8S" sheetId="5" r:id="Rea61b253ca3747bf"/>
    <x:sheet xmlns:r="http://schemas.openxmlformats.org/officeDocument/2006/relationships" name="Parcial_Real" sheetId="6" r:id="R6256550aa26a4121"/>
    <x:sheet xmlns:r="http://schemas.openxmlformats.org/officeDocument/2006/relationships" name="RACI" sheetId="7" r:id="Rbf8d51f7f032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526578"/>
      <x:name val="Carlito"/>
    </x:font>
    <x:font>
      <x:b/>
      <x:sz val="11"/>
      <x:color rgb="FFFFFFFF"/>
      <x:name val="Carlito"/>
    </x:font>
    <x:font>
      <x:b/>
      <x:sz val="11"/>
      <x:color rgb="FF14283F"/>
      <x:name val="Carlito"/>
    </x:font>
    <x:font>
      <x:sz val="11"/>
      <x:color rgb="FF184FC7"/>
      <x:name val="Carlito"/>
    </x:font>
    <x:font>
      <x:b/>
      <x:sz val="11"/>
      <x:color rgb="FF9B4B00"/>
      <x:name val="Carlito"/>
    </x:font>
    <x:font>
      <x:b/>
      <x:sz val="11"/>
      <x:color rgb="FF087F8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E8F1F7"/>
      </x:patternFill>
    </x:fill>
    <x:fill>
      <x:patternFill patternType="solid">
        <x:fgColor rgb="FF1B3654"/>
      </x:patternFill>
    </x:fill>
    <x:fill>
      <x:patternFill patternType="solid">
        <x:fgColor rgb="FFE5F5EC"/>
      </x:patternFill>
    </x:fill>
    <x:fill>
      <x:patternFill patternType="solid">
        <x:fgColor rgb="FF087F8C"/>
      </x:patternFill>
    </x:fill>
    <x:fill>
      <x:patternFill patternType="solid">
        <x:fgColor rgb="FFFFF0D1"/>
      </x:patternFill>
    </x:fill>
    <x:fill>
      <x:patternFill patternType="solid">
        <x:fgColor rgb="FFE1F6F2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/>
    <x:xf numFmtId="201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40c75dcc44310" /><Relationship Type="http://schemas.openxmlformats.org/officeDocument/2006/relationships/theme" Target="/xl/theme/theme1.xml" Id="R95368e2ef636405a" /><Relationship Type="http://schemas.openxmlformats.org/officeDocument/2006/relationships/sharedStrings" Target="/xl/sharedStrings.xml" Id="R79e936a3746842fc" /><Relationship Type="http://schemas.openxmlformats.org/officeDocument/2006/relationships/worksheet" Target="/xl/worksheets/sheet1.xml" Id="Rb36fb55626704668" /><Relationship Type="http://schemas.openxmlformats.org/officeDocument/2006/relationships/worksheet" Target="/xl/worksheets/sheet2.xml" Id="R43cf792d6dbf4fa8" /><Relationship Type="http://schemas.openxmlformats.org/officeDocument/2006/relationships/worksheet" Target="/xl/worksheets/sheet3.xml" Id="R110a4d47994d4554" /><Relationship Type="http://schemas.openxmlformats.org/officeDocument/2006/relationships/worksheet" Target="/xl/worksheets/sheet4.xml" Id="R94434b8558f44f98" /><Relationship Type="http://schemas.openxmlformats.org/officeDocument/2006/relationships/worksheet" Target="/xl/worksheets/sheet5.xml" Id="Rea61b253ca3747bf" /><Relationship Type="http://schemas.openxmlformats.org/officeDocument/2006/relationships/worksheet" Target="/xl/worksheets/sheet6.xml" Id="R6256550aa26a4121" /><Relationship Type="http://schemas.openxmlformats.org/officeDocument/2006/relationships/worksheet" Target="/xl/worksheets/sheet7.xml" Id="Rbf8d51f7f032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FASE 7 | Modelo financiero SOC N1 - PagoClaro C05</x:v>
      </x:c>
      <x:c r="B1" s="3"/>
      <x:c r="C1" s="3"/>
      <x:c r="D1" s="3"/>
      <x:c r="E1" s="3"/>
      <x:c r="F1" s="3"/>
      <x:c r="G1" s="3"/>
      <x:c r="H1" s="3"/>
    </x:row>
    <x:row r="2" ht="26" customHeight="1">
      <x:c r="A2" s="3"/>
      <x:c r="B2" s="3"/>
      <x:c r="C2" s="3"/>
      <x:c r="D2" s="3"/>
      <x:c r="E2" s="3"/>
      <x:c r="F2" s="3"/>
      <x:c r="G2" s="3"/>
      <x:c r="H2" s="3"/>
    </x:row>
    <x:row r="3" ht="23" customHeight="1">
      <x:c r="A3" s="7" t="str">
        <x:v>Corte: 21/10/2026 | Escenario estimativo, no cotización vinculante | 20 activos | COP</x:v>
      </x:c>
      <x:c r="B3" s="7"/>
      <x:c r="C3" s="7"/>
      <x:c r="D3" s="7"/>
      <x:c r="E3" s="7"/>
      <x:c r="F3" s="7"/>
      <x:c r="G3" s="7"/>
      <x:c r="H3" s="7"/>
    </x:row>
    <x:row r="5" ht="33" customHeight="1">
      <x:c r="A5" s="13" t="str">
        <x:v>INDICADOR</x:v>
      </x:c>
      <x:c r="B5" s="13" t="str">
        <x:v>TOTAL (COP)</x:v>
      </x:c>
    </x:row>
    <x:row r="6">
      <x:c r="A6" t="str">
        <x:v>CAPEX inicial</x:v>
      </x:c>
      <x:c r="B6" s="22" t="n">
        <x:f>CAPEX!H15</x:f>
        <x:v>48223427.496640004</x:v>
      </x:c>
    </x:row>
    <x:row r="7">
      <x:c r="A7" t="str">
        <x:v>OPEX mensual</x:v>
      </x:c>
      <x:c r="B7" s="22" t="n">
        <x:f>OPEX!H16</x:f>
        <x:v>4503673.4688</x:v>
      </x:c>
    </x:row>
    <x:row r="8">
      <x:c r="A8" t="str">
        <x:v>OPEX anual</x:v>
      </x:c>
      <x:c r="B8" s="22" t="n">
        <x:f>B7*12</x:f>
        <x:v>54044081.625599995</x:v>
      </x:c>
    </x:row>
    <x:row r="9">
      <x:c r="A9" t="str">
        <x:v>TCO 3 años</x:v>
      </x:c>
      <x:c r="B9" s="22" t="n">
        <x:f>B6+36*B7</x:f>
        <x:v>210355672.37344</x:v>
      </x:c>
    </x:row>
    <x:row r="10">
      <x:c r="A10" t="str">
        <x:v>Tope CAPEX</x:v>
      </x:c>
      <x:c r="B10" s="22" t="n">
        <x:v>70000000</x:v>
      </x:c>
    </x:row>
    <x:row r="11">
      <x:c r="A11" t="str">
        <x:v>Tope OPEX mensual</x:v>
      </x:c>
      <x:c r="B11" s="22" t="n">
        <x:v>5000000</x:v>
      </x:c>
    </x:row>
    <x:row r="12">
      <x:c r="B12" s="22"/>
    </x:row>
    <x:row r="13" ht="33" customHeight="1">
      <x:c r="A13" s="13" t="str">
        <x:v>CONTROL</x:v>
      </x:c>
      <x:c r="B13" s="23" t="str">
        <x:v>RESULTADO</x:v>
      </x:c>
    </x:row>
    <x:row r="14">
      <x:c r="A14" t="str">
        <x:v>Margen CAPEX</x:v>
      </x:c>
      <x:c r="B14" s="22" t="n">
        <x:f>B10-B6</x:f>
        <x:v>21776572.503359996</x:v>
      </x:c>
    </x:row>
    <x:row r="15">
      <x:c r="A15" t="str">
        <x:v>Margen OPEX mensual</x:v>
      </x:c>
      <x:c r="B15" s="22" t="n">
        <x:f>B11-B7</x:f>
        <x:v>496326.5312000001</x:v>
      </x:c>
    </x:row>
    <x:row r="16">
      <x:c r="A16" t="str">
        <x:v>CAPEX dentro tope</x:v>
      </x:c>
      <x:c r="B16" t="str">
        <x:f>IF(B14&gt;=0,"CUMPLE","NO CUMPLE")</x:f>
        <x:v>CUMPLE</x:v>
      </x:c>
    </x:row>
    <x:row r="17">
      <x:c r="A17" t="str">
        <x:v>OPEX dentro tope</x:v>
      </x:c>
      <x:c r="B17" t="str">
        <x:f>IF(B15&gt;=0,"CUMPLE","NO CUMPLE")</x:f>
        <x:v>CUMPLE</x:v>
      </x:c>
    </x:row>
    <x:row r="20" ht="33" customHeight="1">
      <x:c r="A20" s="13" t="str">
        <x:v>ALCANCE Y LIMITACIONES</x:v>
      </x:c>
      <x:c r="B20" s="13"/>
      <x:c r="C20" s="13"/>
      <x:c r="D20" s="13"/>
      <x:c r="E20" s="13"/>
      <x:c r="F20" s="13"/>
      <x:c r="G20" s="13"/>
      <x:c r="H20" s="13"/>
    </x:row>
    <x:row r="22" ht="38" customHeight="1">
      <x:c r="A22" s="19" t="str">
        <x:v>El NGFW incluye 36 meses de UTP/FortiCare prepagados: se carga una sola vez al CAPEX de caja y NO se repite en OPEX durante el horizonte.</x:v>
      </x:c>
      <x:c r="B22" s="19"/>
      <x:c r="C22" s="19"/>
      <x:c r="D22" s="19"/>
      <x:c r="E22" s="19"/>
      <x:c r="F22" s="19"/>
      <x:c r="G22" s="19"/>
      <x:c r="H22" s="19"/>
    </x:row>
    <x:row r="23" ht="38" customHeight="1">
      <x:c r="A23" s="19" t="str">
        <x:v>Precios publicados: referencias comerciales, NO pedidos, facturas ni cotizaciones firmadas. IVA adicional del 19% es un escenario y debe confirmarse.</x:v>
      </x:c>
      <x:c r="B23" s="19"/>
      <x:c r="C23" s="19"/>
      <x:c r="D23" s="19"/>
      <x:c r="E23" s="19"/>
      <x:c r="F23" s="19"/>
      <x:c r="G23" s="19"/>
      <x:c r="H23" s="19"/>
    </x:row>
    <x:row r="24" ht="38" customHeight="1">
      <x:c r="A24" s="19" t="str">
        <x:v>El soporte N1 se modela como 2 personas con 0,5 jornada cada una; NO equivale a dos turnos completos de ocho horas. Para 12 horas de atención activa se necesita ampliar personal o contratar MSSP.</x:v>
      </x:c>
      <x:c r="B24" s="19"/>
      <x:c r="C24" s="19"/>
      <x:c r="D24" s="19"/>
      <x:c r="E24" s="19"/>
      <x:c r="F24" s="19"/>
      <x:c r="G24" s="19"/>
      <x:c r="H24" s="19"/>
    </x:row>
    <x:row r="25" ht="38" customHeight="1">
      <x:c r="A25" s="19" t="str">
        <x:v>No se imputa costo a licencias Wazuh open source; si se contrata soporte comercial, se suma por separado.</x:v>
      </x:c>
      <x:c r="B25" s="19"/>
      <x:c r="C25" s="19"/>
      <x:c r="D25" s="19"/>
      <x:c r="E25" s="19"/>
      <x:c r="F25" s="19"/>
      <x:c r="G25" s="19"/>
      <x:c r="H25" s="19"/>
    </x:row>
    <x:row r="26" ht="38" customHeight="1">
      <x:c r="A26" s="19" t="str">
        <x:v>Costo transaccional IaaS, WAF avanzado, ancho de banda principal y auditoría PCI quedan fuera de este SOC incremental.</x:v>
      </x:c>
      <x:c r="B26" s="19"/>
      <x:c r="C26" s="19"/>
      <x:c r="D26" s="19"/>
      <x:c r="E26" s="19"/>
      <x:c r="F26" s="19"/>
      <x:c r="G26" s="19"/>
      <x:c r="H26" s="19"/>
    </x:row>
    <x:row r="29" ht="33" customHeight="1">
      <x:c r="A29" s="13" t="str">
        <x:v>PARÁMETRO DE MODELO</x:v>
      </x:c>
      <x:c r="B29" s="13" t="str">
        <x:v>VALOR</x:v>
      </x:c>
    </x:row>
    <x:row r="30">
      <x:c r="A30" t="str">
        <x:v>TRM COP/USD (21/10/2026)</x:v>
      </x:c>
      <x:c r="B30" s="30" t="n">
        <x:v>3163.76</x:v>
      </x:c>
    </x:row>
    <x:row r="31">
      <x:c r="A31" t="str">
        <x:v>IVA supuesto</x:v>
      </x:c>
      <x:c r="B31" s="74" t="n">
        <x:v>0.19</x:v>
      </x:c>
    </x:row>
    <x:row r="32">
      <x:c r="A32" t="str">
        <x:v>Contingencia CAPEX</x:v>
      </x:c>
      <x:c r="B32" s="74" t="n">
        <x:v>0.1</x:v>
      </x:c>
    </x:row>
    <x:row r="33">
      <x:c r="A33" t="str">
        <x:v>EDR unidad COP/año sin IVA</x:v>
      </x:c>
      <x:c r="B33" s="30" t="n">
        <x:v>240000</x:v>
      </x:c>
    </x:row>
    <x:row r="34">
      <x:c r="A34" t="str">
        <x:v>AWS WAF total USD/mes</x:v>
      </x:c>
      <x:c r="B34" s="30" t="n">
        <x:v>13</x:v>
      </x:c>
    </x:row>
    <x:row r="36" ht="33" customHeight="1">
      <x:c r="A36" s="13" t="str">
        <x:v>ANÁLISIS DE ESCENARIOS</x:v>
      </x:c>
      <x:c r="B36" s="13" t="str">
        <x:v>COP/mes</x:v>
      </x:c>
    </x:row>
    <x:row r="37">
      <x:c r="A37" t="str">
        <x:v>OPEX si la TRM sube 10%</x:v>
      </x:c>
      <x:c r="B37" s="22" t="n">
        <x:f>B7+SUM(OPEX!H5:H7)*10%</x:f>
        <x:v>4523250.81568</x:v>
      </x:c>
    </x:row>
    <x:row r="38">
      <x:c r="A38" t="str">
        <x:v>OPEX con N1 adicional de jornada completa</x:v>
      </x:c>
      <x:c r="B38" s="22" t="n">
        <x:f>B7+2700000</x:f>
        <x:v>7203673.4688</x:v>
      </x:c>
    </x:row>
    <x:row r="39">
      <x:c r="A39" t="str">
        <x:v>Resultado OPEX con N1 adicional</x:v>
      </x:c>
      <x:c r="B39" t="str">
        <x:f>IF(B38&gt;B11,"SUPERA TOPE","DENTRO DE TOPE")</x:f>
        <x:v>SUPERA TOPE</x:v>
      </x:c>
    </x:row>
  </x:sheetData>
  <x:mergeCells>
    <x:mergeCell ref="A1:H2"/>
    <x:mergeCell ref="A3:H3"/>
    <x:mergeCell ref="A20:H20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3" hidden="0" customWidth="1"/>
    <x:col min="3" max="3" width="10" hidden="0" customWidth="1"/>
    <x:col min="4" max="4" width="24" hidden="0" customWidth="1"/>
    <x:col min="5" max="5" width="12" hidden="0" customWidth="1"/>
    <x:col min="6" max="6" width="19" hidden="0" customWidth="1"/>
    <x:col min="7" max="7" width="19" hidden="0" customWidth="1"/>
    <x:col min="8" max="8" width="20" hidden="0" customWidth="1"/>
    <x:col min="9" max="9" width="14" hidden="0" customWidth="1"/>
    <x:col min="10" max="10" width="65" hidden="0" customWidth="1"/>
  </x:cols>
  <x:sheetData>
    <x:row r="1" ht="32" customHeight="1">
      <x:c r="A1" s="13" t="str">
        <x:v>CAPEX | Costo de adquisición y servicios iniciales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3" ht="33" customHeight="1">
      <x:c r="A3" s="13" t="str">
        <x:v>Código</x:v>
      </x:c>
      <x:c r="B3" s="13" t="str">
        <x:v>Concepto</x:v>
      </x:c>
      <x:c r="C3" s="13" t="str">
        <x:v>Cantidad</x:v>
      </x:c>
      <x:c r="D3" s="13" t="str">
        <x:v>Precio unitario COP (sin IVA salvo nota)</x:v>
      </x:c>
      <x:c r="E3" s="13" t="str">
        <x:v>IVA 19% (1/0)</x:v>
      </x:c>
      <x:c r="F3" s="13" t="str">
        <x:v>Base COP</x:v>
      </x:c>
      <x:c r="G3" s="13" t="str">
        <x:v>Impuestos COP</x:v>
      </x:c>
      <x:c r="H3" s="13" t="str">
        <x:v>Total COP</x:v>
      </x:c>
      <x:c r="I3" s="13" t="str">
        <x:v>Fuente</x:v>
      </x:c>
      <x:c r="J3" s="13" t="str">
        <x:v>Clasificación/nota</x:v>
      </x:c>
    </x:row>
    <x:row r="4" ht="38" customHeight="1">
      <x:c r="A4" s="34" t="str">
        <x:v>FG80F-UTP-36</x:v>
      </x:c>
      <x:c r="B4" s="34" t="str">
        <x:v>FortiGate 80F + 36 meses UTP/FortiCare</x:v>
      </x:c>
      <x:c r="C4" s="34" t="n">
        <x:v>1</x:v>
      </x:c>
      <x:c r="D4" s="35" t="n">
        <x:v>10149000</x:v>
      </x:c>
      <x:c r="E4" s="34" t="n">
        <x:v>1</x:v>
      </x:c>
      <x:c r="F4" s="36" t="n">
        <x:f>C4*D4</x:f>
        <x:v>10149000</x:v>
      </x:c>
      <x:c r="G4" s="36" t="n">
        <x:f>F4*E4*Resumen!$B$31</x:f>
        <x:v>1928310</x:v>
      </x:c>
      <x:c r="H4" s="36" t="n">
        <x:f>F4+G4</x:f>
        <x:v>12077310</x:v>
      </x:c>
      <x:c r="I4" s="34" t="str">
        <x:v>S01</x:v>
      </x:c>
      <x:c r="J4" s="34" t="str">
        <x:v>CAPEX/prepago: Precio de catálogo; IVA 19% aplicado conservadoramente, confirmar</x:v>
      </x:c>
    </x:row>
    <x:row r="5" ht="38" customHeight="1">
      <x:c r="A5" s="34" t="str">
        <x:v>SRV-WAZ</x:v>
      </x:c>
      <x:c r="B5" s="34" t="str">
        <x:v>Dell PowerEdge R350 para Wazuh</x:v>
      </x:c>
      <x:c r="C5" s="34" t="n">
        <x:v>1</x:v>
      </x:c>
      <x:c r="D5" s="35" t="n">
        <x:v>13500000</x:v>
      </x:c>
      <x:c r="E5" s="34" t="n">
        <x:v>0</x:v>
      </x:c>
      <x:c r="F5" s="36" t="n">
        <x:f>C5*D5</x:f>
        <x:v>13500000</x:v>
      </x:c>
      <x:c r="G5" s="36" t="n">
        <x:f>F5*E5*Resumen!$B$31</x:f>
        <x:v>0</x:v>
      </x:c>
      <x:c r="H5" s="36" t="n">
        <x:f>F5+G5</x:f>
        <x:v>13500000</x:v>
      </x:c>
      <x:c r="I5" s="34" t="str">
        <x:v>S02</x:v>
      </x:c>
      <x:c r="J5" s="34" t="str">
        <x:v>CAPEX: Precio anunciado IVA incluido, NO duplicar</x:v>
      </x:c>
    </x:row>
    <x:row r="6" ht="38" customHeight="1">
      <x:c r="A6" s="34" t="str">
        <x:v>SW24</x:v>
      </x:c>
      <x:c r="B6" s="34" t="str">
        <x:v>Switch Cisco Catalyst 9200L 24 puertos</x:v>
      </x:c>
      <x:c r="C6" s="34" t="n">
        <x:v>1</x:v>
      </x:c>
      <x:c r="D6" s="35" t="n">
        <x:v>6272000</x:v>
      </x:c>
      <x:c r="E6" s="34" t="n">
        <x:v>1</x:v>
      </x:c>
      <x:c r="F6" s="36" t="n">
        <x:f>C6*D6</x:f>
        <x:v>6272000</x:v>
      </x:c>
      <x:c r="G6" s="36" t="n">
        <x:f>F6*E6*Resumen!$B$31</x:f>
        <x:v>1191680</x:v>
      </x:c>
      <x:c r="H6" s="36" t="n">
        <x:f>F6+G6</x:f>
        <x:v>7463680</x:v>
      </x:c>
      <x:c r="I6" s="34" t="str">
        <x:v>S03</x:v>
      </x:c>
      <x:c r="J6" s="34" t="str">
        <x:v>CAPEX: IVA 19% supuesto conservador</x:v>
      </x:c>
    </x:row>
    <x:row r="7" ht="38" customHeight="1">
      <x:c r="A7" s="34" t="str">
        <x:v>AP-WIFI</x:v>
      </x:c>
      <x:c r="B7" s="34" t="str">
        <x:v>Ubiquiti UniFi U6+</x:v>
      </x:c>
      <x:c r="C7" s="34" t="n">
        <x:v>2</x:v>
      </x:c>
      <x:c r="D7" s="35" t="n">
        <x:v>607680.48</x:v>
      </x:c>
      <x:c r="E7" s="34" t="n">
        <x:v>1</x:v>
      </x:c>
      <x:c r="F7" s="36" t="n">
        <x:f>C7*D7</x:f>
        <x:v>1215360.96</x:v>
      </x:c>
      <x:c r="G7" s="36" t="n">
        <x:f>F7*E7*Resumen!$B$31</x:f>
        <x:v>230918.58239999998</x:v>
      </x:c>
      <x:c r="H7" s="36" t="n">
        <x:f>F7+G7</x:f>
        <x:v>1446279.5424</x:v>
      </x:c>
      <x:c r="I7" s="34" t="str">
        <x:v>S04</x:v>
      </x:c>
      <x:c r="J7" s="34" t="str">
        <x:v>CAPEX: IVA 19% supuesto conservador</x:v>
      </x:c>
    </x:row>
    <x:row r="8" ht="38" customHeight="1">
      <x:c r="A8" s="34" t="str">
        <x:v>MFA-KEY</x:v>
      </x:c>
      <x:c r="B8" s="34" t="str">
        <x:v>YubiKey Security Key NFC</x:v>
      </x:c>
      <x:c r="C8" s="34" t="n">
        <x:v>10</x:v>
      </x:c>
      <x:c r="D8" s="35" t="n">
        <x:v>209900</x:v>
      </x:c>
      <x:c r="E8" s="34" t="n">
        <x:v>1</x:v>
      </x:c>
      <x:c r="F8" s="36" t="n">
        <x:f>C8*D8</x:f>
        <x:v>2099000</x:v>
      </x:c>
      <x:c r="G8" s="36" t="n">
        <x:f>F8*E8*Resumen!$B$31</x:f>
        <x:v>398810</x:v>
      </x:c>
      <x:c r="H8" s="36" t="n">
        <x:f>F8+G8</x:f>
        <x:v>2497810</x:v>
      </x:c>
      <x:c r="I8" s="34" t="str">
        <x:v>S05</x:v>
      </x:c>
      <x:c r="J8" s="34" t="str">
        <x:v>CAPEX: IVA 19% supuesto conservador</x:v>
      </x:c>
    </x:row>
    <x:row r="9" ht="38" customHeight="1">
      <x:c r="A9" s="34" t="str">
        <x:v>IMPL</x:v>
      </x:c>
      <x:c r="B9" s="34" t="str">
        <x:v>Implementación y hardening SOC (horas)</x:v>
      </x:c>
      <x:c r="C9" s="34" t="n">
        <x:v>60</x:v>
      </x:c>
      <x:c r="D9" s="35" t="n">
        <x:v>80000</x:v>
      </x:c>
      <x:c r="E9" s="34" t="n">
        <x:v>1</x:v>
      </x:c>
      <x:c r="F9" s="36" t="n">
        <x:f>C9*D9</x:f>
        <x:v>4800000</x:v>
      </x:c>
      <x:c r="G9" s="36" t="n">
        <x:f>F9*E9*Resumen!$B$31</x:f>
        <x:v>912000</x:v>
      </x:c>
      <x:c r="H9" s="36" t="n">
        <x:f>F9+G9</x:f>
        <x:v>5712000</x:v>
      </x:c>
      <x:c r="I9" s="34" t="str">
        <x:v>A01</x:v>
      </x:c>
      <x:c r="J9" s="34" t="str">
        <x:v>CAPEX/servicio: Tarifa académica estimada; NO es cotización</x:v>
      </x:c>
    </x:row>
    <x:row r="10" ht="38" customHeight="1">
      <x:c r="A10" s="34" t="str">
        <x:v>FORM</x:v>
      </x:c>
      <x:c r="B10" s="34" t="str">
        <x:v>Capacitación operación SOC (horas)</x:v>
      </x:c>
      <x:c r="C10" s="34" t="n">
        <x:v>12</x:v>
      </x:c>
      <x:c r="D10" s="35" t="n">
        <x:v>80000</x:v>
      </x:c>
      <x:c r="E10" s="34" t="n">
        <x:v>1</x:v>
      </x:c>
      <x:c r="F10" s="36" t="n">
        <x:f>C10*D10</x:f>
        <x:v>960000</x:v>
      </x:c>
      <x:c r="G10" s="36" t="n">
        <x:f>F10*E10*Resumen!$B$31</x:f>
        <x:v>182400</x:v>
      </x:c>
      <x:c r="H10" s="36" t="n">
        <x:f>F10+G10</x:f>
        <x:v>1142400</x:v>
      </x:c>
      <x:c r="I10" s="34" t="str">
        <x:v>A01</x:v>
      </x:c>
      <x:c r="J10" s="34" t="str">
        <x:v>CAPEX/servicio: Tarifa académica estimada; NO es cotización</x:v>
      </x:c>
    </x:row>
    <x:row r="11" ht="27" customHeight="1">
      <x:c r="A11" s="37" t="str">
        <x:v>SUBTOTAL CAPEX</x:v>
      </x:c>
      <x:c r="B11" s="37" t="str"/>
      <x:c r="C11" s="37"/>
      <x:c r="D11" s="37"/>
      <x:c r="E11" s="37"/>
      <x:c r="F11" s="38"/>
      <x:c r="G11" s="38"/>
      <x:c r="H11" s="38" t="n">
        <x:f>SUM(H4:H10)</x:f>
        <x:v>43839479.5424</x:v>
      </x:c>
      <x:c r="I11" s="37"/>
      <x:c r="J11" s="37"/>
    </x:row>
    <x:row r="12">
      <x:c r="A12" s="34" t="str">
        <x:v>Contingencia</x:v>
      </x:c>
      <x:c r="B12" s="34" t="str">
        <x:v>10% sobre subtotal</x:v>
      </x:c>
      <x:c r="C12" s="34"/>
      <x:c r="D12" s="34"/>
      <x:c r="E12" s="34"/>
      <x:c r="F12" s="36"/>
      <x:c r="G12" s="36"/>
      <x:c r="H12" s="36" t="n">
        <x:f>H11*Resumen!$B$32</x:f>
        <x:v>4383947.954240001</x:v>
      </x:c>
      <x:c r="I12" s="34"/>
      <x:c r="J12" s="34"/>
    </x:row>
    <x:row r="13" ht="27" customHeight="1">
      <x:c r="A13" s="37" t="str">
        <x:v>TOTAL CAPEX</x:v>
      </x:c>
      <x:c r="B13" s="37" t="str"/>
      <x:c r="C13" s="37"/>
      <x:c r="D13" s="37"/>
      <x:c r="E13" s="37"/>
      <x:c r="F13" s="38"/>
      <x:c r="G13" s="38"/>
      <x:c r="H13" s="38" t="n">
        <x:f>H15</x:f>
        <x:v>48223427.496640004</x:v>
      </x:c>
      <x:c r="I13" s="37"/>
      <x:c r="J13" s="37"/>
    </x:row>
    <x:row r="14">
      <x:c r="A14" s="34" t="str">
        <x:v>Margen frente al límite</x:v>
      </x:c>
      <x:c r="B14" s="34" t="str"/>
      <x:c r="C14" s="34"/>
      <x:c r="D14" s="34"/>
      <x:c r="E14" s="34"/>
      <x:c r="F14" s="36"/>
      <x:c r="G14" s="36"/>
      <x:c r="H14" s="36" t="n">
        <x:f>Resumen!B10-H15</x:f>
        <x:v>21776572.503359996</x:v>
      </x:c>
      <x:c r="I14" s="34"/>
      <x:c r="J14" s="34"/>
    </x:row>
    <x:row r="15">
      <x:c r="A15" s="34" t="str">
        <x:v>Tratamiento de licencia NGFW</x:v>
      </x:c>
      <x:c r="B15" s="34" t="str">
        <x:v>prepagada 36 meses, no duplicar OPEX</x:v>
      </x:c>
      <x:c r="C15" s="34"/>
      <x:c r="D15" s="34"/>
      <x:c r="E15" s="34"/>
      <x:c r="F15" s="36"/>
      <x:c r="G15" s="36"/>
      <x:c r="H15" s="36" t="n">
        <x:f>SUM(H11:H12)</x:f>
        <x:v>48223427.496640004</x:v>
      </x:c>
      <x:c r="I15" s="34"/>
      <x:c r="J15" s="34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3" hidden="0" customWidth="1"/>
    <x:col min="3" max="3" width="11" hidden="0" customWidth="1"/>
    <x:col min="4" max="4" width="25" hidden="0" customWidth="1"/>
    <x:col min="5" max="5" width="12" hidden="0" customWidth="1"/>
    <x:col min="6" max="6" width="19" hidden="0" customWidth="1"/>
    <x:col min="7" max="7" width="19" hidden="0" customWidth="1"/>
    <x:col min="8" max="8" width="20" hidden="0" customWidth="1"/>
    <x:col min="9" max="9" width="17" hidden="0" customWidth="1"/>
    <x:col min="10" max="10" width="72" hidden="0" customWidth="1"/>
  </x:cols>
  <x:sheetData>
    <x:row r="1" ht="32" customHeight="1">
      <x:c r="A1" s="13" t="str">
        <x:v>OPEX | Costos operativos de la solución SOC N1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3" ht="33" customHeight="1">
      <x:c r="A3" s="13" t="str">
        <x:v>Código</x:v>
      </x:c>
      <x:c r="B3" s="13" t="str">
        <x:v>Concepto recurrente</x:v>
      </x:c>
      <x:c r="C3" s="13" t="str">
        <x:v>Cantidad</x:v>
      </x:c>
      <x:c r="D3" s="13" t="str">
        <x:v>Precio unitario mensual COP sin IVA</x:v>
      </x:c>
      <x:c r="E3" s="13" t="str">
        <x:v>IVA 19% (1/0)</x:v>
      </x:c>
      <x:c r="F3" s="13" t="str">
        <x:v>Base COP/mes</x:v>
      </x:c>
      <x:c r="G3" s="13" t="str">
        <x:v>IVA COP/mes</x:v>
      </x:c>
      <x:c r="H3" s="13" t="str">
        <x:v>Total COP/mes</x:v>
      </x:c>
      <x:c r="I3" s="13" t="str">
        <x:v>Fuente</x:v>
      </x:c>
      <x:c r="J3" s="13" t="str">
        <x:v>Método / alcance</x:v>
      </x:c>
    </x:row>
    <x:row r="4" ht="40" customHeight="1">
      <x:c r="A4" s="34" t="str">
        <x:v>EDR</x:v>
      </x:c>
      <x:c r="B4" s="34" t="str">
        <x:v>Licencias EDR Optimum 20 equipos</x:v>
      </x:c>
      <x:c r="C4" s="34" t="n">
        <x:v>20</x:v>
      </x:c>
      <x:c r="D4" s="46" t="n">
        <x:f>Resumen!$B$33/12</x:f>
        <x:v>20000</x:v>
      </x:c>
      <x:c r="E4" s="36" t="n">
        <x:v>1</x:v>
      </x:c>
      <x:c r="F4" s="36" t="n">
        <x:f>C4*D4</x:f>
        <x:v>400000</x:v>
      </x:c>
      <x:c r="G4" s="36" t="n">
        <x:f>F4*E4*Resumen!$B$31</x:f>
        <x:v>76000</x:v>
      </x:c>
      <x:c r="H4" s="36" t="n">
        <x:f>F4+G4</x:f>
        <x:v>476000</x:v>
      </x:c>
      <x:c r="I4" s="34" t="str">
        <x:v>A02;S09</x:v>
      </x:c>
      <x:c r="J4" s="34" t="str">
        <x:v>COP 240.000 / endpoint / año SIN IVA es hipótesis, compra 20 difiere precio por volumen</x:v>
      </x:c>
    </x:row>
    <x:row r="5" ht="40" customHeight="1">
      <x:c r="A5" s="34" t="str">
        <x:v>GLPI</x:v>
      </x:c>
      <x:c r="B5" s="34" t="str">
        <x:v>GLPI VM Lightsail 4 GB IPv4</x:v>
      </x:c>
      <x:c r="C5" s="34" t="n">
        <x:v>1</x:v>
      </x:c>
      <x:c r="D5" s="46" t="n">
        <x:f>24*Resumen!$B$30</x:f>
        <x:v>75930.24</x:v>
      </x:c>
      <x:c r="E5" s="36" t="n">
        <x:v>1</x:v>
      </x:c>
      <x:c r="F5" s="36" t="n">
        <x:f>C5*D5</x:f>
        <x:v>75930.24</x:v>
      </x:c>
      <x:c r="G5" s="36" t="n">
        <x:f>F5*E5*Resumen!$B$31</x:f>
        <x:v>14426.745600000002</x:v>
      </x:c>
      <x:c r="H5" s="36" t="n">
        <x:f>F5+G5</x:f>
        <x:v>90356.98560000001</x:v>
      </x:c>
      <x:c r="I5" s="34" t="str">
        <x:v>S06;S08</x:v>
      </x:c>
      <x:c r="J5" s="34" t="str">
        <x:v>USD 24 x TRM; región y costos reales sujetos a validación</x:v>
      </x:c>
    </x:row>
    <x:row r="6" ht="40" customHeight="1">
      <x:c r="A6" s="34" t="str">
        <x:v>BACKUP</x:v>
      </x:c>
      <x:c r="B6" s="34" t="str">
        <x:v>Respaldos y restauración GLPI</x:v>
      </x:c>
      <x:c r="C6" s="34" t="n">
        <x:v>1</x:v>
      </x:c>
      <x:c r="D6" s="46" t="n">
        <x:f>15*Resumen!$B$30</x:f>
        <x:v>47456.4</x:v>
      </x:c>
      <x:c r="E6" s="36" t="n">
        <x:v>1</x:v>
      </x:c>
      <x:c r="F6" s="36" t="n">
        <x:f>C6*D6</x:f>
        <x:v>47456.4</x:v>
      </x:c>
      <x:c r="G6" s="36" t="n">
        <x:f>F6*E6*Resumen!$B$31</x:f>
        <x:v>9016.716</x:v>
      </x:c>
      <x:c r="H6" s="36" t="n">
        <x:f>F6+G6</x:f>
        <x:v>56473.116</x:v>
      </x:c>
      <x:c r="I6" s="34" t="str">
        <x:v>A03;S06;S08</x:v>
      </x:c>
      <x:c r="J6" s="34" t="str">
        <x:v>Reserva de USD 15 al mes: no es tarifa precisa del proveedor</x:v>
      </x:c>
    </x:row>
    <x:row r="7" ht="40" customHeight="1">
      <x:c r="A7" s="34" t="str">
        <x:v>WAF</x:v>
      </x:c>
      <x:c r="B7" s="34" t="str">
        <x:v>AWS WAF (1 ACL + 5 reglas + 5 M peticiones)</x:v>
      </x:c>
      <x:c r="C7" s="34" t="n">
        <x:v>1</x:v>
      </x:c>
      <x:c r="D7" s="46" t="n">
        <x:f>Resumen!$B$34*Resumen!$B$30</x:f>
        <x:v>41128.880000000005</x:v>
      </x:c>
      <x:c r="E7" s="36" t="n">
        <x:v>1</x:v>
      </x:c>
      <x:c r="F7" s="36" t="n">
        <x:f>C7*D7</x:f>
        <x:v>41128.880000000005</x:v>
      </x:c>
      <x:c r="G7" s="36" t="n">
        <x:f>F7*E7*Resumen!$B$31</x:f>
        <x:v>7814.487200000001</x:v>
      </x:c>
      <x:c r="H7" s="36" t="n">
        <x:f>F7+G7</x:f>
        <x:v>48943.36720000001</x:v>
      </x:c>
      <x:c r="I7" s="34" t="str">
        <x:v>S07;S08</x:v>
      </x:c>
      <x:c r="J7" s="34" t="str">
        <x:v>Supuesto tráfico 5 M solicitudes/mes; servicios AWS adicionales no incluidos</x:v>
      </x:c>
    </x:row>
    <x:row r="8" ht="40" customHeight="1">
      <x:c r="A8" s="34" t="str">
        <x:v>DOMAIN</x:v>
      </x:c>
      <x:c r="B8" s="34" t="str">
        <x:v>DNS y dominio empresa</x:v>
      </x:c>
      <x:c r="C8" s="34" t="n">
        <x:v>1</x:v>
      </x:c>
      <x:c r="D8" s="46" t="n">
        <x:v>10000</x:v>
      </x:c>
      <x:c r="E8" s="36" t="n">
        <x:v>1</x:v>
      </x:c>
      <x:c r="F8" s="36" t="n">
        <x:f>C8*D8</x:f>
        <x:v>10000</x:v>
      </x:c>
      <x:c r="G8" s="36" t="n">
        <x:f>F8*E8*Resumen!$B$31</x:f>
        <x:v>1900</x:v>
      </x:c>
      <x:c r="H8" s="36" t="n">
        <x:f>F8+G8</x:f>
        <x:v>11900</x:v>
      </x:c>
      <x:c r="I8" s="34" t="str">
        <x:v>A04</x:v>
      </x:c>
      <x:c r="J8" s="34" t="str">
        <x:v>COP 120.000/año sin IVA como hipótesis</x:v>
      </x:c>
    </x:row>
    <x:row r="9" ht="40" customHeight="1">
      <x:c r="A9" s="34" t="str">
        <x:v>N1</x:v>
      </x:c>
      <x:c r="B9" s="34" t="str">
        <x:v>SOC N1 servicio compartido: 2 analistas x 0,5 jornada</x:v>
      </x:c>
      <x:c r="C9" s="34" t="n">
        <x:v>1</x:v>
      </x:c>
      <x:c r="D9" s="46" t="n">
        <x:v>2700000</x:v>
      </x:c>
      <x:c r="E9" s="36" t="n">
        <x:v>0</x:v>
      </x:c>
      <x:c r="F9" s="36" t="n">
        <x:f>C9*D9</x:f>
        <x:v>2700000</x:v>
      </x:c>
      <x:c r="G9" s="36" t="n">
        <x:f>F9*E9*Resumen!$B$31</x:f>
        <x:v>0</x:v>
      </x:c>
      <x:c r="H9" s="36" t="n">
        <x:f>F9+G9</x:f>
        <x:v>2700000</x:v>
      </x:c>
      <x:c r="I9" s="34" t="str">
        <x:v>A05</x:v>
      </x:c>
      <x:c r="J9" s="34" t="str">
        <x:v>2 analistas 50% asignación; costo completo imputado 2,7 M por mes</x:v>
      </x:c>
    </x:row>
    <x:row r="10" ht="40" customHeight="1">
      <x:c r="A10" s="34" t="str">
        <x:v>GUARD</x:v>
      </x:c>
      <x:c r="B10" s="34" t="str">
        <x:v>Guardia rotativa fuera de horario</x:v>
      </x:c>
      <x:c r="C10" s="34" t="n">
        <x:v>1</x:v>
      </x:c>
      <x:c r="D10" s="46" t="n">
        <x:v>300000</x:v>
      </x:c>
      <x:c r="E10" s="36" t="n">
        <x:v>0</x:v>
      </x:c>
      <x:c r="F10" s="36" t="n">
        <x:f>C10*D10</x:f>
        <x:v>300000</x:v>
      </x:c>
      <x:c r="G10" s="36" t="n">
        <x:f>F10*E10*Resumen!$B$31</x:f>
        <x:v>0</x:v>
      </x:c>
      <x:c r="H10" s="36" t="n">
        <x:f>F10+G10</x:f>
        <x:v>300000</x:v>
      </x:c>
      <x:c r="I10" s="34" t="str">
        <x:v>A05</x:v>
      </x:c>
      <x:c r="J10" s="34" t="str">
        <x:v>Supuesto de asignación mensual, revisar viabilidad laboral</x:v>
      </x:c>
    </x:row>
    <x:row r="11" ht="40" customHeight="1">
      <x:c r="A11" s="34" t="str">
        <x:v>N2</x:v>
      </x:c>
      <x:c r="B11" s="34" t="str">
        <x:v>Retén soporte N2 externo</x:v>
      </x:c>
      <x:c r="C11" s="34" t="n">
        <x:v>1</x:v>
      </x:c>
      <x:c r="D11" s="46" t="n">
        <x:v>600000</x:v>
      </x:c>
      <x:c r="E11" s="36" t="n">
        <x:v>0</x:v>
      </x:c>
      <x:c r="F11" s="36" t="n">
        <x:f>C11*D11</x:f>
        <x:v>600000</x:v>
      </x:c>
      <x:c r="G11" s="36" t="n">
        <x:f>F11*E11*Resumen!$B$31</x:f>
        <x:v>0</x:v>
      </x:c>
      <x:c r="H11" s="36" t="n">
        <x:f>F11+G11</x:f>
        <x:v>600000</x:v>
      </x:c>
      <x:c r="I11" s="34" t="str">
        <x:v>A06</x:v>
      </x:c>
      <x:c r="J11" s="34" t="str">
        <x:v>Bolsa/retén estimado, intervenciones adicionales se cotizan</x:v>
      </x:c>
    </x:row>
    <x:row r="12" ht="40" customHeight="1">
      <x:c r="A12" s="34" t="str">
        <x:v>ENERGY</x:v>
      </x:c>
      <x:c r="B12" s="34" t="str">
        <x:v>Energía/espacio on-premises</x:v>
      </x:c>
      <x:c r="C12" s="34" t="n">
        <x:v>1</x:v>
      </x:c>
      <x:c r="D12" s="46" t="n">
        <x:v>220000</x:v>
      </x:c>
      <x:c r="E12" s="36" t="n">
        <x:v>0</x:v>
      </x:c>
      <x:c r="F12" s="36" t="n">
        <x:f>C12*D12</x:f>
        <x:v>220000</x:v>
      </x:c>
      <x:c r="G12" s="36" t="n">
        <x:f>F12*E12*Resumen!$B$31</x:f>
        <x:v>0</x:v>
      </x:c>
      <x:c r="H12" s="36" t="n">
        <x:f>F12+G12</x:f>
        <x:v>220000</x:v>
      </x:c>
      <x:c r="I12" s="34" t="str">
        <x:v>A07</x:v>
      </x:c>
      <x:c r="J12" s="34" t="str">
        <x:v>Estimación sin medición real</x:v>
      </x:c>
    </x:row>
    <x:row r="13">
      <x:c r="A13" s="34"/>
      <x:c r="B13" s="34"/>
      <x:c r="C13" s="34"/>
      <x:c r="D13" s="36"/>
      <x:c r="E13" s="36"/>
      <x:c r="F13" s="36"/>
      <x:c r="G13" s="36"/>
      <x:c r="H13" s="36"/>
      <x:c r="I13" s="34"/>
      <x:c r="J13" s="34"/>
    </x:row>
    <x:row r="14">
      <x:c r="A14" s="34"/>
      <x:c r="B14" s="34"/>
      <x:c r="C14" s="34"/>
      <x:c r="D14" s="36"/>
      <x:c r="E14" s="36"/>
      <x:c r="F14" s="36"/>
      <x:c r="G14" s="36"/>
      <x:c r="H14" s="36"/>
      <x:c r="I14" s="34"/>
      <x:c r="J14" s="34"/>
    </x:row>
    <x:row r="15">
      <x:c r="A15" s="34"/>
      <x:c r="B15" s="34"/>
      <x:c r="C15" s="34"/>
      <x:c r="D15" s="36"/>
      <x:c r="E15" s="36"/>
      <x:c r="F15" s="36"/>
      <x:c r="G15" s="36"/>
      <x:c r="H15" s="36"/>
      <x:c r="I15" s="34"/>
      <x:c r="J15" s="34"/>
    </x:row>
    <x:row r="16" ht="29" customHeight="1">
      <x:c r="A16" s="37" t="str">
        <x:v>OPEX MENSUAL</x:v>
      </x:c>
      <x:c r="B16" s="37" t="str"/>
      <x:c r="C16" s="37"/>
      <x:c r="D16" s="38"/>
      <x:c r="E16" s="38"/>
      <x:c r="F16" s="38"/>
      <x:c r="G16" s="38"/>
      <x:c r="H16" s="38" t="n">
        <x:f>SUM(H4:H12)</x:f>
        <x:v>4503673.4688</x:v>
      </x:c>
      <x:c r="I16" s="37"/>
      <x:c r="J16" s="37"/>
    </x:row>
    <x:row r="17">
      <x:c r="A17" s="34" t="str">
        <x:v>OPEX ANUAL</x:v>
      </x:c>
      <x:c r="B17" s="34" t="str"/>
      <x:c r="C17" s="34"/>
      <x:c r="D17" s="36"/>
      <x:c r="E17" s="36"/>
      <x:c r="F17" s="36"/>
      <x:c r="G17" s="36"/>
      <x:c r="H17" s="36" t="n">
        <x:f>H16*12</x:f>
        <x:v>54044081.625599995</x:v>
      </x:c>
      <x:c r="I17" s="34"/>
      <x:c r="J17" s="34"/>
    </x:row>
    <x:row r="18" ht="29" customHeight="1">
      <x:c r="A18" s="37" t="str">
        <x:v>OPEX 3 AÑOS</x:v>
      </x:c>
      <x:c r="B18" s="37" t="str"/>
      <x:c r="C18" s="37"/>
      <x:c r="D18" s="38"/>
      <x:c r="E18" s="38"/>
      <x:c r="F18" s="38"/>
      <x:c r="G18" s="38"/>
      <x:c r="H18" s="38" t="n">
        <x:f>H16*36</x:f>
        <x:v>162132244.8768</x:v>
      </x:c>
      <x:c r="I18" s="37"/>
      <x:c r="J18" s="37"/>
    </x:row>
    <x:row r="19">
      <x:c r="A19" s="34" t="str">
        <x:v>Holgura mensual</x:v>
      </x:c>
      <x:c r="B19" s="34" t="str"/>
      <x:c r="C19" s="34"/>
      <x:c r="D19" s="36"/>
      <x:c r="E19" s="36"/>
      <x:c r="F19" s="36"/>
      <x:c r="G19" s="36"/>
      <x:c r="H19" s="36" t="n">
        <x:f>Resumen!B11-H16</x:f>
        <x:v>496326.5312000001</x:v>
      </x:c>
      <x:c r="I19" s="34"/>
      <x:c r="J19" s="34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5" hidden="0" customWidth="1"/>
    <x:col min="4" max="4" width="92" hidden="0" customWidth="1"/>
  </x:cols>
  <x:sheetData>
    <x:row r="1" ht="32" customHeight="1">
      <x:c r="A1" s="13" t="str">
        <x:v>FUENTES Y SUPUESTOS | Precios de referencia (consulta 21/10/2026)</x:v>
      </x:c>
      <x:c r="B1" s="13"/>
      <x:c r="C1" s="13"/>
      <x:c r="D1" s="13"/>
      <x:c r="E1" s="13"/>
    </x:row>
    <x:row r="3" ht="33" customHeight="1">
      <x:c r="A3" s="13" t="str">
        <x:v>ID</x:v>
      </x:c>
      <x:c r="B3" s="13" t="str">
        <x:v>Concepto</x:v>
      </x:c>
      <x:c r="C3" s="13" t="str">
        <x:v>Evidencia de precio / criterio</x:v>
      </x:c>
      <x:c r="D3" s="13" t="str">
        <x:v>Fuente URL / archivo</x:v>
      </x:c>
    </x:row>
    <x:row r="4" ht="50" customHeight="1">
      <x:c r="A4" s="34" t="str">
        <x:v>S01</x:v>
      </x:c>
      <x:c r="B4" s="34" t="str">
        <x:v>NGFW seleccionado en Fase 5</x:v>
      </x:c>
      <x:c r="C4" s="34" t="str">
        <x:v>Datacenter360, FG-80F-BDL-950-36, COP 10.149.000, precio publico sin IVA confirmado</x:v>
      </x:c>
      <x:c r="D4" s="34" t="str">
        <x:v>https://datacenter360.net/producto/firewall-fortinet-fortigate-80f-hardware-mas-3-anos-24x7-forticare-y-fortiguard-unified-threat-protection-utp-fg-80f-bdl-950-36/</x:v>
      </x:c>
    </x:row>
    <x:row r="5" ht="50" customHeight="1">
      <x:c r="A5" s="34" t="str">
        <x:v>S02</x:v>
      </x:c>
      <x:c r="B5" s="34" t="str">
        <x:v>Servidor Wazuh</x:v>
      </x:c>
      <x:c r="C5" s="34" t="str">
        <x:v>CH Soluciones, Dell R350 16 GB y SSD 480 GB, COP 13.500.000, IVA incluido</x:v>
      </x:c>
      <x:c r="D5" s="34" t="str">
        <x:v>https://chsolucionesentecnologia.com/producto/servidor-dell-emc-poweredge-r350-ram-16gb-ram/</x:v>
      </x:c>
    </x:row>
    <x:row r="6" ht="50" customHeight="1">
      <x:c r="A6" s="34" t="str">
        <x:v>S03</x:v>
      </x:c>
      <x:c r="B6" s="34" t="str">
        <x:v>Switch gestionable</x:v>
      </x:c>
      <x:c r="C6" s="34" t="str">
        <x:v>CiscoColombia, Catalyst 9200L 24 puertos, COP 6.272.000; IVA no precisado</x:v>
      </x:c>
      <x:c r="D6" s="34" t="str">
        <x:v>https://www.ciscocolombia.co/collections/switches</x:v>
      </x:c>
    </x:row>
    <x:row r="7" ht="50" customHeight="1">
      <x:c r="A7" s="34" t="str">
        <x:v>S04</x:v>
      </x:c>
      <x:c r="B7" s="34" t="str">
        <x:v>Puntos de acceso</x:v>
      </x:c>
      <x:c r="C7" s="34" t="str">
        <x:v>Centinela Group Ubiquiti UniFi U6+, COP 607.680,48/unidad; IVA no precisado</x:v>
      </x:c>
      <x:c r="D7" s="34" t="str">
        <x:v>https://centinelagroup.com/tienda/redes-y-audio-video/redes-wifi/puntos-de-acceso/?marca=UBIQUITI</x:v>
      </x:c>
    </x:row>
    <x:row r="8" ht="50" customHeight="1">
      <x:c r="A8" s="34" t="str">
        <x:v>S05</x:v>
      </x:c>
      <x:c r="B8" s="34" t="str">
        <x:v>Llaves FIDO MFA</x:v>
      </x:c>
      <x:c r="C8" s="34" t="str">
        <x:v>MPCStore Yubikey Security Key NFC, COP 209.900/unidad; IVA no precisado</x:v>
      </x:c>
      <x:c r="D8" s="34" t="str">
        <x:v>https://mpcstore.co/memorias-ram/yubikey</x:v>
      </x:c>
    </x:row>
    <x:row r="9" ht="50" customHeight="1">
      <x:c r="A9" s="34" t="str">
        <x:v>S06</x:v>
      </x:c>
      <x:c r="B9" s="34" t="str">
        <x:v>GLPI VM / respaldos</x:v>
      </x:c>
      <x:c r="C9" s="34" t="str">
        <x:v>AWS Lightsail Linux 4 GB IPv4 publica, USD 24/mes; reserva respaldo es supuesto</x:v>
      </x:c>
      <x:c r="D9" s="34" t="str">
        <x:v>https://aws.amazon.com/es/lightsail/pricing/</x:v>
      </x:c>
    </x:row>
    <x:row r="10" ht="50" customHeight="1">
      <x:c r="A10" s="34" t="str">
        <x:v>S07</x:v>
      </x:c>
      <x:c r="B10" s="34" t="str">
        <x:v>WAF de API en nube</x:v>
      </x:c>
      <x:c r="C10" s="34" t="str">
        <x:v>AWS WAF, Web ACL USD 5, reglas USD 1/u y solicitudes USD 0,60 por millon</x:v>
      </x:c>
      <x:c r="D10" s="34" t="str">
        <x:v>https://aws.amazon.com/waf/pricing/</x:v>
      </x:c>
    </x:row>
    <x:row r="11" ht="50" customHeight="1">
      <x:c r="A11" s="34" t="str">
        <x:v>S08</x:v>
      </x:c>
      <x:c r="B11" s="34" t="str">
        <x:v>TRM fecha de corte</x:v>
      </x:c>
      <x:c r="C11" s="34" t="str">
        <x:v>TRM 21 octubre 2026, 3163,76 COP/USD; publicacion con fuente Superfinanciera</x:v>
      </x:c>
      <x:c r="D11" s="34" t="str">
        <x:v>https://www.larepublica.co/indicadores-economicos/mercado-cambiario/dolar</x:v>
      </x:c>
    </x:row>
    <x:row r="12" ht="50" customHeight="1">
      <x:c r="A12" s="34" t="str">
        <x:v>S09</x:v>
      </x:c>
      <x:c r="B12" s="34" t="str">
        <x:v>Benchmark Kaspersky</x:v>
      </x:c>
      <x:c r="C12" s="34" t="str">
        <x:v>Colombia Compra Eficiente OC 166645, EDR Optimum 50-99 unidades COP 180.000/u/anual; no aplicable directamente a 20</x:v>
      </x:c>
      <x:c r="D12" s="34" t="str">
        <x:v>https://operaciones.colombiacompra.gov.co/tienda-virtual-del-estado-colombiano/ordenes-compra/166645</x:v>
      </x:c>
    </x:row>
    <x:row r="13" ht="50" customHeight="1">
      <x:c r="A13" s="34" t="str">
        <x:v>S10</x:v>
      </x:c>
      <x:c r="B13" s="34" t="str">
        <x:v>Rubrica caso C05</x:v>
      </x:c>
      <x:c r="C13" s="34" t="str">
        <x:v>Rúbrica local Parcial_SOC_N1_Etica_Hacking(3).pdf, Fase 7 y Caso C05; límites COP 70M / COP 5M</x:v>
      </x:c>
      <x:c r="D13" s="34" t="str">
        <x:v>Parcial_SOC_N1_Etica_Hacking(3).pdf</x:v>
      </x:c>
    </x:row>
    <x:row r="14" ht="50" customHeight="1">
      <x:c r="A14" s="34" t="str">
        <x:v>S11</x:v>
      </x:c>
      <x:c r="B14" s="34" t="str">
        <x:v>Fase 5 propia</x:v>
      </x:c>
      <x:c r="C14" s="34" t="str">
        <x:v>Fase5_C05_Datos_Reales_2026/05_Seleccion_Justificacion_Financiera_C05.pdf, seleccion FG-80F</x:v>
      </x:c>
      <x:c r="D14" s="34" t="str">
        <x:v>05_Seleccion_Justificacion_Financiera_C05.pdf</x:v>
      </x:c>
    </x:row>
    <x:row r="15" ht="50" customHeight="1">
      <x:c r="A15" s="34"/>
      <x:c r="B15" s="34"/>
      <x:c r="C15" s="34"/>
      <x:c r="D15" s="34"/>
    </x:row>
    <x:row r="16" ht="50" customHeight="1">
      <x:c r="A16" s="34"/>
      <x:c r="B16" s="34"/>
      <x:c r="C16" s="34"/>
      <x:c r="D16" s="34"/>
    </x:row>
    <x:row r="17" ht="50" customHeight="1">
      <x:c r="A17" s="34"/>
      <x:c r="B17" s="34"/>
      <x:c r="C17" s="34"/>
      <x:c r="D17" s="34"/>
    </x:row>
    <x:row r="18" ht="50" customHeight="1">
      <x:c r="A18" s="13" t="str">
        <x:v>ID</x:v>
      </x:c>
      <x:c r="B18" s="13" t="str">
        <x:v>Supuesto</x:v>
      </x:c>
      <x:c r="C18" s="13" t="str">
        <x:v>Descripción</x:v>
      </x:c>
      <x:c r="D18" s="13" t="str">
        <x:v>Naturaleza</x:v>
      </x:c>
    </x:row>
    <x:row r="19" ht="50" customHeight="1">
      <x:c r="A19" s="34" t="str">
        <x:v>A01</x:v>
      </x:c>
      <x:c r="B19" s="34" t="str">
        <x:v>Implementación y capacitación</x:v>
      </x:c>
      <x:c r="C19" s="34" t="str">
        <x:v>COP 80.000/hora antes IVA como supuesto académico sin proveedor</x:v>
      </x:c>
      <x:c r="D19" s="34" t="str">
        <x:v>no cotizado</x:v>
      </x:c>
    </x:row>
    <x:row r="20" ht="50" customHeight="1">
      <x:c r="A20" s="34" t="str">
        <x:v>A02</x:v>
      </x:c>
      <x:c r="B20" s="34" t="str">
        <x:v>EDR 20 equipos</x:v>
      </x:c>
      <x:c r="C20" s="34" t="str">
        <x:v>COP 240.000/equipo/año antes IVA; precio referencial para lote distinto de OC pública 50-99</x:v>
      </x:c>
      <x:c r="D20" s="34" t="str">
        <x:v>no cotizado para 20</x:v>
      </x:c>
    </x:row>
    <x:row r="21" ht="50" customHeight="1">
      <x:c r="A21" s="34" t="str">
        <x:v>A03</x:v>
      </x:c>
      <x:c r="B21" s="34" t="str">
        <x:v>Backups Lightsail</x:v>
      </x:c>
      <x:c r="C21" s="34" t="str">
        <x:v>USD 15/mes reservados; consumo y retención no calculados por proveedor</x:v>
      </x:c>
      <x:c r="D21" s="34" t="str">
        <x:v>supuesto</x:v>
      </x:c>
    </x:row>
    <x:row r="22" ht="50" customHeight="1">
      <x:c r="A22" s="34" t="str">
        <x:v>A04</x:v>
      </x:c>
      <x:c r="B22" s="34" t="str">
        <x:v>Dominio DNS</x:v>
      </x:c>
      <x:c r="C22" s="34" t="str">
        <x:v>COP 120.000/año antes IVA; renovación real por registrar</x:v>
      </x:c>
      <x:c r="D22" s="34" t="str">
        <x:v>supuesto</x:v>
      </x:c>
    </x:row>
    <x:row r="23" ht="50" customHeight="1">
      <x:c r="A23" s="34" t="str">
        <x:v>A05</x:v>
      </x:c>
      <x:c r="B23" s="34" t="str">
        <x:v>Dedicación N1 y guardias</x:v>
      </x:c>
      <x:c r="C23" s="34" t="str">
        <x:v>2 x 0,5 jornada a costo total imputado COP 2,7 M/mes; guardia COP 300.000</x:v>
      </x:c>
      <x:c r="D23" s="34" t="str">
        <x:v>supuesto</x:v>
      </x:c>
    </x:row>
    <x:row r="24" ht="50" customHeight="1">
      <x:c r="A24" s="34" t="str">
        <x:v>A06</x:v>
      </x:c>
      <x:c r="B24" s="34" t="str">
        <x:v>N2 externo</x:v>
      </x:c>
      <x:c r="C24" s="34" t="str">
        <x:v>Retén mensual COP 600.000; no cubre intervenciones extraordinarias</x:v>
      </x:c>
      <x:c r="D24" s="34" t="str">
        <x:v>supuesto</x:v>
      </x:c>
    </x:row>
    <x:row r="25" ht="50" customHeight="1">
      <x:c r="A25" s="34" t="str">
        <x:v>A07</x:v>
      </x:c>
      <x:c r="B25" s="34" t="str">
        <x:v>Energía</x:v>
      </x:c>
      <x:c r="C25" s="34" t="str">
        <x:v>COP 220.000 al mes por servidor y equipos de red; sin medición</x:v>
      </x:c>
      <x:c r="D25" s="34" t="str">
        <x:v>supuesto</x:v>
      </x:c>
    </x:row>
    <x:row r="26" ht="50" customHeight="1">
      <x:c r="A26" s="34" t="str">
        <x:v>A08</x:v>
      </x:c>
      <x:c r="B26" s="34" t="str">
        <x:v>Reserva contingencia</x:v>
      </x:c>
      <x:c r="C26" s="34" t="str">
        <x:v>10% CAPEX después de escenario IVA</x:v>
      </x:c>
      <x:c r="D26" s="34" t="str">
        <x:v>rúbrica 7.1</x:v>
      </x:c>
    </x:row>
    <x:row r="27" ht="50" customHeight="1">
      <x:c r="A27" s="34" t="str">
        <x:v>A09</x:v>
      </x:c>
      <x:c r="B27" s="34" t="str">
        <x:v>Tributos</x:v>
      </x:c>
      <x:c r="C27" s="34" t="str">
        <x:v>Escenario IVA 19% para precios sin confirmación; productos con IVA incluido: no aplicar de nuevo</x:v>
      </x:c>
      <x:c r="D27" s="34" t="str">
        <x:v>riesgo de precio</x:v>
      </x:c>
    </x:row>
    <x:row r="28" ht="50" customHeight="1">
      <x:c r="A28" s="34" t="str">
        <x:v>A10</x:v>
      </x:c>
      <x:c r="B28" s="34" t="str">
        <x:v>Capacidad/servicio</x:v>
      </x:c>
      <x:c r="C28" s="34" t="str">
        <x:v>No se presupuestan dos turnos N1 de 8h completos; la cobertura es servicio compartido</x:v>
      </x:c>
      <x:c r="D28" s="34" t="str">
        <x:v>límite de presupuesto</x:v>
      </x:c>
    </x:row>
    <x:row r="29" ht="50" customHeight="1">
      <x:c r="A29" s="34" t="str">
        <x:v>A11</x:v>
      </x:c>
      <x:c r="B29" s="34" t="str">
        <x:v>WAF cloud</x:v>
      </x:c>
      <x:c r="C29" s="34" t="str">
        <x:v>AWS WAF 1 ACL, 5 reglas, 5 millones solicitudes/mes; USD 13/mes</x:v>
      </x:c>
      <x:c r="D29" s="34" t="str">
        <x:v>hipótesis de consumo</x:v>
      </x:c>
    </x:row>
    <x:row r="30" ht="50" customHeight="1">
      <x:c r="A30" s="34"/>
      <x:c r="B30" s="34"/>
      <x:c r="C30" s="34"/>
      <x:c r="D30" s="34"/>
    </x:row>
    <x:row r="31" ht="50" customHeight="1">
      <x:c r="A31" s="34"/>
      <x:c r="B31" s="34"/>
      <x:c r="C31" s="34"/>
      <x:c r="D31" s="34"/>
    </x:row>
    <x:row r="32" ht="50" customHeight="1">
      <x:c r="A32" s="34"/>
      <x:c r="B32" s="34"/>
      <x:c r="C32" s="34"/>
      <x:c r="D32" s="34"/>
    </x:row>
    <x:row r="33" ht="50" customHeight="1">
      <x:c r="A33" s="34"/>
      <x:c r="B33" s="34"/>
      <x:c r="C33" s="34"/>
      <x:c r="D33" s="34"/>
    </x:row>
    <x:row r="34" ht="50" customHeight="1">
      <x:c r="A34" s="34"/>
      <x:c r="B34" s="34"/>
      <x:c r="C34" s="34"/>
      <x:c r="D34" s="34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53" hidden="0" customWidth="1"/>
    <x:col min="3" max="3" width="30" hidden="0" customWidth="1"/>
    <x:col min="4" max="4" width="58" hidden="0" customWidth="1"/>
    <x:col min="5" max="5" width="17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</x:cols>
  <x:sheetData>
    <x:row r="1" ht="32" customHeight="1">
      <x:c r="A1" s="13" t="str">
        <x:v>CRONOGRAMA DE IMPLEMENTACIÓN | 8 SEMANAS - PLAN FUTURO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>
      <x:c r="A2" t="str">
        <x:v>Semana 1: 26/10/2026; Semana 8: 14/12 a 20/12/2026. Fechas PROPUESTAS; no implican ejecución.</x:v>
      </x:c>
    </x:row>
    <x:row r="4" ht="33" customHeight="1">
      <x:c r="A4" s="13" t="str">
        <x:v>ID</x:v>
      </x:c>
      <x:c r="B4" s="13" t="str">
        <x:v>Actividad</x:v>
      </x:c>
      <x:c r="C4" s="13" t="str">
        <x:v>Responsable</x:v>
      </x:c>
      <x:c r="D4" s="13" t="str">
        <x:v>Entregable verificable</x:v>
      </x:c>
      <x:c r="E4" s="13" t="str">
        <x:v>Dependencias</x:v>
      </x:c>
      <x:c r="F4" s="13" t="str">
        <x:v>S1</x:v>
      </x:c>
      <x:c r="G4" s="13" t="str">
        <x:v>S2</x:v>
      </x:c>
      <x:c r="H4" s="13" t="str">
        <x:v>S3</x:v>
      </x:c>
      <x:c r="I4" s="13" t="str">
        <x:v>S4</x:v>
      </x:c>
      <x:c r="J4" s="13" t="str">
        <x:v>S5</x:v>
      </x:c>
      <x:c r="K4" s="13" t="str">
        <x:v>S6</x:v>
      </x:c>
      <x:c r="L4" s="13" t="str">
        <x:v>S7</x:v>
      </x:c>
      <x:c r="M4" s="13" t="str">
        <x:v>S8</x:v>
      </x:c>
    </x:row>
    <x:row r="5" ht="48" customHeight="1">
      <x:c r="A5" s="34" t="n">
        <x:v>1</x:v>
      </x:c>
      <x:c r="B5" s="34" t="str">
        <x:v>Alcance y autorización; inventario C05</x:v>
      </x:c>
      <x:c r="C5" s="34" t="str">
        <x:v>Líder / TI</x:v>
      </x:c>
      <x:c r="D5" s="34" t="str">
        <x:v>Acta + matriz de riesgos</x:v>
      </x:c>
      <x:c r="E5" s="34" t="str">
        <x:v>-</x:v>
      </x:c>
      <x:c r="F5" s="52" t="str">
        <x:v>■</x:v>
      </x:c>
      <x:c r="G5" s="53" t="str"/>
      <x:c r="H5" s="53" t="str"/>
      <x:c r="I5" s="53" t="str"/>
      <x:c r="J5" s="53" t="str"/>
      <x:c r="K5" s="53" t="str"/>
      <x:c r="L5" s="53" t="str"/>
      <x:c r="M5" s="53" t="str"/>
    </x:row>
    <x:row r="6" ht="48" customHeight="1">
      <x:c r="A6" s="34" t="n">
        <x:v>2</x:v>
      </x:c>
      <x:c r="B6" s="34" t="str">
        <x:v>Arquitectura VLAN, VPN, flujos, retención de logs</x:v>
      </x:c>
      <x:c r="C6" s="34" t="str">
        <x:v>Líder / TI</x:v>
      </x:c>
      <x:c r="D6" s="34" t="str">
        <x:v>Plano validado; reglas de acceso</x:v>
      </x:c>
      <x:c r="E6" s="34" t="str">
        <x:v>1</x:v>
      </x:c>
      <x:c r="F6" s="52" t="str">
        <x:v>■</x:v>
      </x:c>
      <x:c r="G6" s="52" t="str">
        <x:v>■</x:v>
      </x:c>
      <x:c r="H6" s="53" t="str"/>
      <x:c r="I6" s="53" t="str"/>
      <x:c r="J6" s="53" t="str"/>
      <x:c r="K6" s="53" t="str"/>
      <x:c r="L6" s="53" t="str"/>
      <x:c r="M6" s="53" t="str"/>
    </x:row>
    <x:row r="7" ht="48" customHeight="1">
      <x:c r="A7" s="34" t="n">
        <x:v>3</x:v>
      </x:c>
      <x:c r="B7" s="34" t="str">
        <x:v>Instalar Wazuh, endurecimiento y retención</x:v>
      </x:c>
      <x:c r="C7" s="34" t="str">
        <x:v>TI</x:v>
      </x:c>
      <x:c r="D7" s="34" t="str">
        <x:v>Manager activo y respaldado</x:v>
      </x:c>
      <x:c r="E7" s="34" t="str">
        <x:v>1-2</x:v>
      </x:c>
      <x:c r="F7" s="53" t="str"/>
      <x:c r="G7" s="52" t="str">
        <x:v>■</x:v>
      </x:c>
      <x:c r="H7" s="53" t="str"/>
      <x:c r="I7" s="53" t="str"/>
      <x:c r="J7" s="53" t="str"/>
      <x:c r="K7" s="53" t="str"/>
      <x:c r="L7" s="53" t="str"/>
      <x:c r="M7" s="53" t="str"/>
    </x:row>
    <x:row r="8" ht="48" customHeight="1">
      <x:c r="A8" s="34" t="n">
        <x:v>4</x:v>
      </x:c>
      <x:c r="B8" s="34" t="str">
        <x:v>Desplegar agentes Windows, macOS y Ubuntu</x:v>
      </x:c>
      <x:c r="C8" s="34" t="str">
        <x:v>TI / N1</x:v>
      </x:c>
      <x:c r="D8" s="34" t="str">
        <x:v>20/20 agentes en inventario y conectados</x:v>
      </x:c>
      <x:c r="E8" s="34" t="str">
        <x:v>3</x:v>
      </x:c>
      <x:c r="F8" s="53" t="str"/>
      <x:c r="G8" s="52" t="str">
        <x:v>■</x:v>
      </x:c>
      <x:c r="H8" s="52" t="str">
        <x:v>■</x:v>
      </x:c>
      <x:c r="I8" s="53" t="str"/>
      <x:c r="J8" s="53" t="str"/>
      <x:c r="K8" s="53" t="str"/>
      <x:c r="L8" s="53" t="str"/>
      <x:c r="M8" s="53" t="str"/>
    </x:row>
    <x:row r="9" ht="48" customHeight="1">
      <x:c r="A9" s="34" t="n">
        <x:v>5</x:v>
      </x:c>
      <x:c r="B9" s="34" t="str">
        <x:v>Configurar FIM, SCA, CVE, reglas y dashboards</x:v>
      </x:c>
      <x:c r="C9" s="34" t="str">
        <x:v>N1 / TI</x:v>
      </x:c>
      <x:c r="D9" s="34" t="str">
        <x:v>Pruebas reproducibles y paneles</x:v>
      </x:c>
      <x:c r="E9" s="34" t="str">
        <x:v>4</x:v>
      </x:c>
      <x:c r="F9" s="53" t="str"/>
      <x:c r="G9" s="53" t="str"/>
      <x:c r="H9" s="52" t="str">
        <x:v>■</x:v>
      </x:c>
      <x:c r="I9" s="52" t="str">
        <x:v>■</x:v>
      </x:c>
      <x:c r="J9" s="53" t="str"/>
      <x:c r="K9" s="53" t="str"/>
      <x:c r="L9" s="53" t="str"/>
      <x:c r="M9" s="53" t="str"/>
    </x:row>
    <x:row r="10" ht="48" customHeight="1">
      <x:c r="A10" s="34" t="n">
        <x:v>6</x:v>
      </x:c>
      <x:c r="B10" s="34" t="str">
        <x:v>Kaspersky EDR: consola, piloto, exclusiones, prueba EICAR</x:v>
      </x:c>
      <x:c r="C10" s="34" t="str">
        <x:v>TI / proveedor EDR</x:v>
      </x:c>
      <x:c r="D10" s="34" t="str">
        <x:v>Piloto, licencias, eventos</x:v>
      </x:c>
      <x:c r="E10" s="34" t="str">
        <x:v>3</x:v>
      </x:c>
      <x:c r="F10" s="53" t="str"/>
      <x:c r="G10" s="53" t="str"/>
      <x:c r="H10" s="52" t="str">
        <x:v>■</x:v>
      </x:c>
      <x:c r="I10" s="52" t="str">
        <x:v>■</x:v>
      </x:c>
      <x:c r="J10" s="53" t="str"/>
      <x:c r="K10" s="53" t="str"/>
      <x:c r="L10" s="53" t="str"/>
      <x:c r="M10" s="53" t="str"/>
    </x:row>
    <x:row r="11" ht="48" customHeight="1">
      <x:c r="A11" s="34" t="n">
        <x:v>7</x:v>
      </x:c>
      <x:c r="B11" s="34" t="str">
        <x:v>EDR: despliegue de la flota de 20 equipos</x:v>
      </x:c>
      <x:c r="C11" s="34" t="str">
        <x:v>TI</x:v>
      </x:c>
      <x:c r="D11" s="34" t="str">
        <x:v>20/20 inventariados y protegidos</x:v>
      </x:c>
      <x:c r="E11" s="34" t="str">
        <x:v>6</x:v>
      </x:c>
      <x:c r="F11" s="53" t="str"/>
      <x:c r="G11" s="53" t="str"/>
      <x:c r="H11" s="53" t="str"/>
      <x:c r="I11" s="52" t="str">
        <x:v>■</x:v>
      </x:c>
      <x:c r="J11" s="52" t="str">
        <x:v>■</x:v>
      </x:c>
      <x:c r="K11" s="53" t="str"/>
      <x:c r="L11" s="53" t="str"/>
      <x:c r="M11" s="53" t="str"/>
    </x:row>
    <x:row r="12" ht="48" customHeight="1">
      <x:c r="A12" s="34" t="n">
        <x:v>8</x:v>
      </x:c>
      <x:c r="B12" s="34" t="str">
        <x:v>GLPI nube: HTTPS, categorías, SLA, notificaciones</x:v>
      </x:c>
      <x:c r="C12" s="34" t="str">
        <x:v>TI / N1</x:v>
      </x:c>
      <x:c r="D12" s="34" t="str">
        <x:v>Plantillas, backup y restauración</x:v>
      </x:c>
      <x:c r="E12" s="34" t="str">
        <x:v>2</x:v>
      </x:c>
      <x:c r="F12" s="53" t="str"/>
      <x:c r="G12" s="53" t="str"/>
      <x:c r="H12" s="53" t="str"/>
      <x:c r="I12" s="52" t="str">
        <x:v>■</x:v>
      </x:c>
      <x:c r="J12" s="52" t="str">
        <x:v>■</x:v>
      </x:c>
      <x:c r="K12" s="53" t="str"/>
      <x:c r="L12" s="53" t="str"/>
      <x:c r="M12" s="53" t="str"/>
    </x:row>
    <x:row r="13" ht="48" customHeight="1">
      <x:c r="A13" s="34" t="n">
        <x:v>9</x:v>
      </x:c>
      <x:c r="B13" s="34" t="str">
        <x:v>Cotización final NGFW, compra y logística</x:v>
      </x:c>
      <x:c r="C13" s="34" t="str">
        <x:v>Líder / proveedor NGFW</x:v>
      </x:c>
      <x:c r="D13" s="34" t="str">
        <x:v>Oferta formal aprobada + entrega</x:v>
      </x:c>
      <x:c r="E13" s="34" t="str">
        <x:v>1</x:v>
      </x:c>
      <x:c r="F13" s="53" t="str"/>
      <x:c r="G13" s="52" t="str">
        <x:v>■</x:v>
      </x:c>
      <x:c r="H13" s="52" t="str">
        <x:v>■</x:v>
      </x:c>
      <x:c r="I13" s="52" t="str">
        <x:v>■</x:v>
      </x:c>
      <x:c r="J13" s="52" t="str">
        <x:v>■</x:v>
      </x:c>
      <x:c r="K13" s="53" t="str"/>
      <x:c r="L13" s="53" t="str"/>
      <x:c r="M13" s="53" t="str"/>
    </x:row>
    <x:row r="14" ht="48" customHeight="1">
      <x:c r="A14" s="34" t="n">
        <x:v>10</x:v>
      </x:c>
      <x:c r="B14" s="34" t="str">
        <x:v>NGFW: instalación, VLAN, VPN nube y syslog</x:v>
      </x:c>
      <x:c r="C14" s="34" t="str">
        <x:v>TI / proveedor NGFW</x:v>
      </x:c>
      <x:c r="D14" s="34" t="str">
        <x:v>VPN e IPS verificadas; log SIEM</x:v>
      </x:c>
      <x:c r="E14" s="34" t="str">
        <x:v>9</x:v>
      </x:c>
      <x:c r="F14" s="53" t="str"/>
      <x:c r="G14" s="53" t="str"/>
      <x:c r="H14" s="53" t="str"/>
      <x:c r="I14" s="53" t="str"/>
      <x:c r="J14" s="52" t="str">
        <x:v>■</x:v>
      </x:c>
      <x:c r="K14" s="52" t="str">
        <x:v>■</x:v>
      </x:c>
      <x:c r="L14" s="53" t="str"/>
      <x:c r="M14" s="53" t="str"/>
    </x:row>
    <x:row r="15" ht="48" customHeight="1">
      <x:c r="A15" s="34" t="n">
        <x:v>11</x:v>
      </x:c>
      <x:c r="B15" s="34" t="str">
        <x:v>WAF API y registro de solicitudes</x:v>
      </x:c>
      <x:c r="C15" s="34" t="str">
        <x:v>TI / N2</x:v>
      </x:c>
      <x:c r="D15" s="34" t="str">
        <x:v>ACL, reglas y monitoreo activos</x:v>
      </x:c>
      <x:c r="E15" s="34" t="str">
        <x:v>10</x:v>
      </x:c>
      <x:c r="F15" s="53" t="str"/>
      <x:c r="G15" s="53" t="str"/>
      <x:c r="H15" s="53" t="str"/>
      <x:c r="I15" s="53" t="str"/>
      <x:c r="J15" s="52" t="str">
        <x:v>■</x:v>
      </x:c>
      <x:c r="K15" s="52" t="str">
        <x:v>■</x:v>
      </x:c>
      <x:c r="L15" s="53" t="str"/>
      <x:c r="M15" s="53" t="str"/>
    </x:row>
    <x:row r="16" ht="48" customHeight="1">
      <x:c r="A16" s="34" t="n">
        <x:v>12</x:v>
      </x:c>
      <x:c r="B16" s="34" t="str">
        <x:v>Manual SOC, playbooks, SLAs y entrenamiento</x:v>
      </x:c>
      <x:c r="C16" s="34" t="str">
        <x:v>N1 / N2</x:v>
      </x:c>
      <x:c r="D16" s="34" t="str">
        <x:v>9 playbooks y ejercicio conjunto</x:v>
      </x:c>
      <x:c r="E16" s="34" t="str">
        <x:v>5-11</x:v>
      </x:c>
      <x:c r="F16" s="53" t="str"/>
      <x:c r="G16" s="53" t="str"/>
      <x:c r="H16" s="53" t="str"/>
      <x:c r="I16" s="53" t="str"/>
      <x:c r="J16" s="53" t="str"/>
      <x:c r="K16" s="52" t="str">
        <x:v>■</x:v>
      </x:c>
      <x:c r="L16" s="52" t="str">
        <x:v>■</x:v>
      </x:c>
      <x:c r="M16" s="53" t="str"/>
    </x:row>
    <x:row r="17" ht="48" customHeight="1">
      <x:c r="A17" s="34" t="n">
        <x:v>13</x:v>
      </x:c>
      <x:c r="B17" s="34" t="str">
        <x:v>Piloto: incidentes, EICAR, autenticación, FIM, recuperación</x:v>
      </x:c>
      <x:c r="C17" s="34" t="str">
        <x:v>N1 / TI / N2</x:v>
      </x:c>
      <x:c r="D17" s="34" t="str">
        <x:v>Acta de pruebas y KPI inicial</x:v>
      </x:c>
      <x:c r="E17" s="34" t="str">
        <x:v>12</x:v>
      </x:c>
      <x:c r="F17" s="53" t="str"/>
      <x:c r="G17" s="53" t="str"/>
      <x:c r="H17" s="53" t="str"/>
      <x:c r="I17" s="53" t="str"/>
      <x:c r="J17" s="53" t="str"/>
      <x:c r="K17" s="53" t="str"/>
      <x:c r="L17" s="52" t="str">
        <x:v>■</x:v>
      </x:c>
      <x:c r="M17" s="53" t="str"/>
    </x:row>
    <x:row r="18" ht="48" customHeight="1">
      <x:c r="A18" s="34" t="n">
        <x:v>14</x:v>
      </x:c>
      <x:c r="B18" s="34" t="str">
        <x:v>Correcciones, aceptación y paso a operación</x:v>
      </x:c>
      <x:c r="C18" s="34" t="str">
        <x:v>Líder / Gerencia</x:v>
      </x:c>
      <x:c r="D18" s="34" t="str">
        <x:v>Acta, RACI, presupuesto autorizado</x:v>
      </x:c>
      <x:c r="E18" s="34" t="str">
        <x:v>13</x:v>
      </x:c>
      <x:c r="F18" s="53" t="str"/>
      <x:c r="G18" s="53" t="str"/>
      <x:c r="H18" s="53" t="str"/>
      <x:c r="I18" s="53" t="str"/>
      <x:c r="J18" s="53" t="str"/>
      <x:c r="K18" s="53" t="str"/>
      <x:c r="L18" s="53" t="str"/>
      <x:c r="M18" s="52" t="str">
        <x:v>■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50" hidden="0" customWidth="1"/>
    <x:col min="3" max="3" width="60" hidden="0" customWidth="1"/>
    <x:col min="4" max="4" width="80" hidden="0" customWidth="1"/>
    <x:col min="5" max="5" width="30" hidden="0" customWidth="1"/>
  </x:cols>
  <x:sheetData>
    <x:row r="1" ht="32" customHeight="1">
      <x:c r="A1" s="13" t="str">
        <x:v>TRAZABILIDAD DEL PARCIAL | HECHOS vs PLAN (corte 21/10/2026)</x:v>
      </x:c>
      <x:c r="B1" s="13"/>
      <x:c r="C1" s="13"/>
      <x:c r="D1" s="13"/>
      <x:c r="E1" s="13"/>
    </x:row>
    <x:row r="3" ht="33" customHeight="1">
      <x:c r="A3" s="13" t="str">
        <x:v>Día</x:v>
      </x:c>
      <x:c r="B3" s="13" t="str">
        <x:v>Plan orientador</x:v>
      </x:c>
      <x:c r="C3" s="13" t="str">
        <x:v>Fuente de evidencia</x:v>
      </x:c>
      <x:c r="D3" s="13" t="str">
        <x:v>Ejecución realmente sustentada</x:v>
      </x:c>
      <x:c r="E3" s="13" t="str">
        <x:v>Conclusión</x:v>
      </x:c>
    </x:row>
    <x:row r="4" ht="86" customHeight="1">
      <x:c r="A4" s="34" t="str">
        <x:v>D1</x:v>
      </x:c>
      <x:c r="B4" s="34" t="str">
        <x:v>Fases 0-1: alcance, autorización, inventario, arquitectura</x:v>
      </x:c>
      <x:c r="C4" s="34" t="str">
        <x:v>Documentos de autorización/arquitectura presentes en materiales</x:v>
      </x:c>
      <x:c r="D4" s="34" t="str">
        <x:v>Documento de diseño disponible; alcance de 20 activos en rúbrica</x:v>
      </x:c>
      <x:c r="E4" s="34" t="str">
        <x:v>Parcial: no afirmar puesta en marcha</x:v>
      </x:c>
    </x:row>
    <x:row r="5" ht="86" customHeight="1">
      <x:c r="A5" s="34" t="str">
        <x:v>D2</x:v>
      </x:c>
      <x:c r="B5" s="34" t="str">
        <x:v>Fase 2: servidor SIEM, Windows y Linux</x:v>
      </x:c>
      <x:c r="C5" s="34" t="str">
        <x:v>Capturas de Wazuh y comando agent_control</x:v>
      </x:c>
      <x:c r="D5" s="34" t="str">
        <x:v>Manager activo; Windows-Agent activo; Ubuntu-Agent desconectado en una captura</x:v>
      </x:c>
      <x:c r="E5" s="34" t="str">
        <x:v>Parcial: falta cobertura integral</x:v>
      </x:c>
    </x:row>
    <x:row r="6" ht="86" customHeight="1">
      <x:c r="A6" s="34" t="str">
        <x:v>D3</x:v>
      </x:c>
      <x:c r="B6" s="34" t="str">
        <x:v>Fase 2: FIM, SCA, CVE, reglas y paneles</x:v>
      </x:c>
      <x:c r="C6" s="34" t="str">
        <x:v>Capturas de local_rules.xml, backups y archivos FIM</x:v>
      </x:c>
      <x:c r="D6" s="34" t="str">
        <x:v>Reglas definidas y registros de Wazuh; no hay evidencia suficiente de todas las pruebas</x:v>
      </x:c>
      <x:c r="E6" s="34" t="str">
        <x:v>Parcial</x:v>
      </x:c>
    </x:row>
    <x:row r="7" ht="86" customHeight="1">
      <x:c r="A7" s="34" t="str">
        <x:v>D4</x:v>
      </x:c>
      <x:c r="B7" s="34" t="str">
        <x:v>Fase 3: Kaspersky licencia y agente</x:v>
      </x:c>
      <x:c r="C7" s="34" t="str">
        <x:v>Capturas de la consola, licencia trial, host Windows y perfil EDR</x:v>
      </x:c>
      <x:c r="D7" s="34" t="str">
        <x:v>Prueba EICAR bloqueada el 21/10/2026; un endpoint visible</x:v>
      </x:c>
      <x:c r="E7" s="34" t="str">
        <x:v>Evidenciado en laboratorio</x:v>
      </x:c>
    </x:row>
    <x:row r="8" ht="86" customHeight="1">
      <x:c r="A8" s="34" t="str">
        <x:v>D5</x:v>
      </x:c>
      <x:c r="B8" s="34" t="str">
        <x:v>Fase 3: correlación Wazuh-Kaspersky</x:v>
      </x:c>
      <x:c r="C8" s="34" t="str">
        <x:v>Evento 302 y archives.json contienen EICAR</x:v>
      </x:c>
      <x:c r="D8" s="34" t="str">
        <x:v>Recepción del registro bruto; regla 100510 no quedó confirmada como alerta activada</x:v>
      </x:c>
      <x:c r="E8" s="34" t="str">
        <x:v>Parcial</x:v>
      </x:c>
    </x:row>
    <x:row r="9" ht="86" customHeight="1">
      <x:c r="A9" s="34" t="str">
        <x:v>D6</x:v>
      </x:c>
      <x:c r="B9" s="34" t="str">
        <x:v>Fase 4: GLPI nube, seguridad y DNS</x:v>
      </x:c>
      <x:c r="C9" s="34" t="str">
        <x:v>Capturas de GLPI recibidas como referencia de compañera</x:v>
      </x:c>
      <x:c r="D9" s="34" t="str">
        <x:v>No demuestran despliegue propio ni restauración del laboratorio C05</x:v>
      </x:c>
      <x:c r="E9" s="34" t="str">
        <x:v>No acreditado</x:v>
      </x:c>
    </x:row>
    <x:row r="10" ht="86" customHeight="1">
      <x:c r="A10" s="34" t="str">
        <x:v>D7</x:v>
      </x:c>
      <x:c r="B10" s="34" t="str">
        <x:v>Fase 4: plantillas, SLA, notificaciones, inventario</x:v>
      </x:c>
      <x:c r="C10" s="34" t="str">
        <x:v>Capturas de referencia de otra implementación</x:v>
      </x:c>
      <x:c r="D10" s="34" t="str">
        <x:v>Sin constancia suficiente de ejecución propia; no afirmar completado</x:v>
      </x:c>
      <x:c r="E10" s="34" t="str">
        <x:v>No acreditado</x:v>
      </x:c>
    </x:row>
    <x:row r="11" ht="86" customHeight="1">
      <x:c r="A11" s="34" t="str">
        <x:v>D8</x:v>
      </x:c>
      <x:c r="B11" s="34" t="str">
        <x:v>Fase 5: selección NGFW</x:v>
      </x:c>
      <x:c r="C11" s="34" t="str">
        <x:v>9 PDF Fase5_C05_Datos_Reales_2026</x:v>
      </x:c>
      <x:c r="D11" s="34" t="str">
        <x:v>FG-80F seleccionado con precio público; sin compra/cotización firmada</x:v>
      </x:c>
      <x:c r="E11" s="34" t="str">
        <x:v>Documentado; no adquirido</x:v>
      </x:c>
    </x:row>
    <x:row r="12" ht="86" customHeight="1">
      <x:c r="A12" s="34" t="str">
        <x:v>D9</x:v>
      </x:c>
      <x:c r="B12" s="34" t="str">
        <x:v>Fase 6: manual, 9 playbooks e incidente</x:v>
      </x:c>
      <x:c r="C12" s="34" t="str">
        <x:v>PDFs Fase6_C05_SOC_N1_Sin_GLPI</x:v>
      </x:c>
      <x:c r="D12" s="34" t="str">
        <x:v>Manual, playbooks e incidente EICAR redactados; tickets excluidos por solicitud</x:v>
      </x:c>
      <x:c r="E12" s="34" t="str">
        <x:v>Documentado, no operación integral</x:v>
      </x:c>
    </x:row>
    <x:row r="13" ht="86" customHeight="1">
      <x:c r="A13" s="34" t="str">
        <x:v>D10</x:v>
      </x:c>
      <x:c r="B13" s="34" t="str">
        <x:v>Fase 7: presupuesto, cronograma, RACI; Fase 8 entrega</x:v>
      </x:c>
      <x:c r="C13" s="34" t="str">
        <x:v>Estos tres entregables Fase 7 al 21/10/2026</x:v>
      </x:c>
      <x:c r="D13" s="34" t="str">
        <x:v>Documentación generada; informe final y video fuera de esta entrega</x:v>
      </x:c>
      <x:c r="E13" s="34" t="str">
        <x:v>Fase 7 redactada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2" hidden="0" customWidth="1"/>
  </x:cols>
  <x:sheetData>
    <x:row r="1" ht="32" customHeight="1">
      <x:c r="A1" s="13" t="str">
        <x:v>MATRIZ RACI | 7 ROLES - CASO C05</x:v>
      </x:c>
      <x:c r="B1" s="13"/>
      <x:c r="C1" s="13"/>
      <x:c r="D1" s="13"/>
      <x:c r="E1" s="13"/>
      <x:c r="F1" s="13"/>
      <x:c r="G1" s="13"/>
      <x:c r="H1" s="13"/>
    </x:row>
    <x:row r="2">
      <x:c r="A2" t="str">
        <x:v>R: ejecuta | A: aprueba (uno por fila) | C: consultado | I: informado | -: sin intervención</x:v>
      </x:c>
    </x:row>
    <x:row r="4" ht="33" customHeight="1">
      <x:c r="A4" s="13" t="str">
        <x:v>Actividad</x:v>
      </x:c>
      <x:c r="B4" s="13" t="str">
        <x:v>GER</x:v>
      </x:c>
      <x:c r="C4" s="13" t="str">
        <x:v>LID</x:v>
      </x:c>
      <x:c r="D4" s="13" t="str">
        <x:v>N1</x:v>
      </x:c>
      <x:c r="E4" s="13" t="str">
        <x:v>N2</x:v>
      </x:c>
      <x:c r="F4" s="13" t="str">
        <x:v>TI</x:v>
      </x:c>
      <x:c r="G4" s="13" t="str">
        <x:v>NGFW</x:v>
      </x:c>
      <x:c r="H4" s="13" t="str">
        <x:v>EDR</x:v>
      </x:c>
    </x:row>
    <x:row r="5" ht="36" customHeight="1">
      <x:c r="A5" s="34" t="str">
        <x:v>Aprobar alcance, autorizaciones y límites</x:v>
      </x:c>
      <x:c r="B5" s="68" t="str">
        <x:v>A</x:v>
      </x:c>
      <x:c r="C5" s="69" t="str">
        <x:v>R</x:v>
      </x:c>
      <x:c r="D5" s="53" t="str">
        <x:v>I</x:v>
      </x:c>
      <x:c r="E5" s="53" t="str">
        <x:v>I</x:v>
      </x:c>
      <x:c r="F5" s="53" t="str">
        <x:v>C</x:v>
      </x:c>
      <x:c r="G5" s="53" t="str">
        <x:v>-</x:v>
      </x:c>
      <x:c r="H5" s="53" t="str">
        <x:v>-</x:v>
      </x:c>
    </x:row>
    <x:row r="6" ht="36" customHeight="1">
      <x:c r="A6" s="34" t="str">
        <x:v>Diseñar red, segmentación y VPN</x:v>
      </x:c>
      <x:c r="B6" s="53" t="str">
        <x:v>I</x:v>
      </x:c>
      <x:c r="C6" s="68" t="str">
        <x:v>A</x:v>
      </x:c>
      <x:c r="D6" s="53" t="str">
        <x:v>C</x:v>
      </x:c>
      <x:c r="E6" s="53" t="str">
        <x:v>C</x:v>
      </x:c>
      <x:c r="F6" s="69" t="str">
        <x:v>R</x:v>
      </x:c>
      <x:c r="G6" s="53" t="str">
        <x:v>C</x:v>
      </x:c>
      <x:c r="H6" s="53" t="str">
        <x:v>-</x:v>
      </x:c>
    </x:row>
    <x:row r="7" ht="36" customHeight="1">
      <x:c r="A7" s="34" t="str">
        <x:v>Dimensionar Wazuh, infraestructura y registros</x:v>
      </x:c>
      <x:c r="B7" s="53" t="str">
        <x:v>I</x:v>
      </x:c>
      <x:c r="C7" s="68" t="str">
        <x:v>A</x:v>
      </x:c>
      <x:c r="D7" s="53" t="str">
        <x:v>C</x:v>
      </x:c>
      <x:c r="E7" s="53" t="str">
        <x:v>C</x:v>
      </x:c>
      <x:c r="F7" s="69" t="str">
        <x:v>R</x:v>
      </x:c>
      <x:c r="G7" s="53" t="str">
        <x:v>-</x:v>
      </x:c>
      <x:c r="H7" s="53" t="str">
        <x:v>-</x:v>
      </x:c>
    </x:row>
    <x:row r="8" ht="36" customHeight="1">
      <x:c r="A8" s="34" t="str">
        <x:v>Instalar y validar Wazuh manager y agentes</x:v>
      </x:c>
      <x:c r="B8" s="53" t="str">
        <x:v>I</x:v>
      </x:c>
      <x:c r="C8" s="68" t="str">
        <x:v>A</x:v>
      </x:c>
      <x:c r="D8" s="53" t="str">
        <x:v>C</x:v>
      </x:c>
      <x:c r="E8" s="53" t="str">
        <x:v>C</x:v>
      </x:c>
      <x:c r="F8" s="69" t="str">
        <x:v>R</x:v>
      </x:c>
      <x:c r="G8" s="53" t="str">
        <x:v>-</x:v>
      </x:c>
      <x:c r="H8" s="53" t="str">
        <x:v>-</x:v>
      </x:c>
    </x:row>
    <x:row r="9" ht="36" customHeight="1">
      <x:c r="A9" s="34" t="str">
        <x:v>Implementar FIM, CVE, SCA, decoders y paneles</x:v>
      </x:c>
      <x:c r="B9" s="53" t="str">
        <x:v>I</x:v>
      </x:c>
      <x:c r="C9" s="68" t="str">
        <x:v>A</x:v>
      </x:c>
      <x:c r="D9" s="69" t="str">
        <x:v>R</x:v>
      </x:c>
      <x:c r="E9" s="53" t="str">
        <x:v>C</x:v>
      </x:c>
      <x:c r="F9" s="69" t="str">
        <x:v>R</x:v>
      </x:c>
      <x:c r="G9" s="53" t="str">
        <x:v>-</x:v>
      </x:c>
      <x:c r="H9" s="53" t="str">
        <x:v>-</x:v>
      </x:c>
    </x:row>
    <x:row r="10" ht="36" customHeight="1">
      <x:c r="A10" s="34" t="str">
        <x:v>Desplegar Kaspersky y 20 agentes</x:v>
      </x:c>
      <x:c r="B10" s="53" t="str">
        <x:v>I</x:v>
      </x:c>
      <x:c r="C10" s="68" t="str">
        <x:v>A</x:v>
      </x:c>
      <x:c r="D10" s="53" t="str">
        <x:v>C</x:v>
      </x:c>
      <x:c r="E10" s="53" t="str">
        <x:v>C</x:v>
      </x:c>
      <x:c r="F10" s="69" t="str">
        <x:v>R</x:v>
      </x:c>
      <x:c r="G10" s="53" t="str">
        <x:v>-</x:v>
      </x:c>
      <x:c r="H10" s="53" t="str">
        <x:v>C</x:v>
      </x:c>
    </x:row>
    <x:row r="11" ht="36" customHeight="1">
      <x:c r="A11" s="34" t="str">
        <x:v>Definir excepciones EDR, alertas y cambios</x:v>
      </x:c>
      <x:c r="B11" s="53" t="str">
        <x:v>I</x:v>
      </x:c>
      <x:c r="C11" s="68" t="str">
        <x:v>A</x:v>
      </x:c>
      <x:c r="D11" s="69" t="str">
        <x:v>R</x:v>
      </x:c>
      <x:c r="E11" s="53" t="str">
        <x:v>C</x:v>
      </x:c>
      <x:c r="F11" s="53" t="str">
        <x:v>C</x:v>
      </x:c>
      <x:c r="G11" s="53" t="str">
        <x:v>-</x:v>
      </x:c>
      <x:c r="H11" s="53" t="str">
        <x:v>C</x:v>
      </x:c>
    </x:row>
    <x:row r="12" ht="36" customHeight="1">
      <x:c r="A12" s="34" t="str">
        <x:v>Configurar GLPI, respaldos y restauración</x:v>
      </x:c>
      <x:c r="B12" s="53" t="str">
        <x:v>I</x:v>
      </x:c>
      <x:c r="C12" s="68" t="str">
        <x:v>A</x:v>
      </x:c>
      <x:c r="D12" s="53" t="str">
        <x:v>C</x:v>
      </x:c>
      <x:c r="E12" s="53" t="str">
        <x:v>C</x:v>
      </x:c>
      <x:c r="F12" s="69" t="str">
        <x:v>R</x:v>
      </x:c>
      <x:c r="G12" s="53" t="str">
        <x:v>-</x:v>
      </x:c>
      <x:c r="H12" s="53" t="str">
        <x:v>-</x:v>
      </x:c>
    </x:row>
    <x:row r="13" ht="36" customHeight="1">
      <x:c r="A13" s="34" t="str">
        <x:v>Seleccionar, cotizar y aprobar NGFW</x:v>
      </x:c>
      <x:c r="B13" s="68" t="str">
        <x:v>A</x:v>
      </x:c>
      <x:c r="C13" s="69" t="str">
        <x:v>R</x:v>
      </x:c>
      <x:c r="D13" s="53" t="str">
        <x:v>C</x:v>
      </x:c>
      <x:c r="E13" s="53" t="str">
        <x:v>C</x:v>
      </x:c>
      <x:c r="F13" s="53" t="str">
        <x:v>C</x:v>
      </x:c>
      <x:c r="G13" s="53" t="str">
        <x:v>C</x:v>
      </x:c>
      <x:c r="H13" s="53" t="str">
        <x:v>-</x:v>
      </x:c>
    </x:row>
    <x:row r="14" ht="36" customHeight="1">
      <x:c r="A14" s="34" t="str">
        <x:v>Instalar NGFW, VLAN, IPS y VPN site-to-site</x:v>
      </x:c>
      <x:c r="B14" s="53" t="str">
        <x:v>I</x:v>
      </x:c>
      <x:c r="C14" s="68" t="str">
        <x:v>A</x:v>
      </x:c>
      <x:c r="D14" s="53" t="str">
        <x:v>C</x:v>
      </x:c>
      <x:c r="E14" s="53" t="str">
        <x:v>C</x:v>
      </x:c>
      <x:c r="F14" s="69" t="str">
        <x:v>R</x:v>
      </x:c>
      <x:c r="G14" s="69" t="str">
        <x:v>R</x:v>
      </x:c>
      <x:c r="H14" s="53" t="str">
        <x:v>-</x:v>
      </x:c>
    </x:row>
    <x:row r="15" ht="36" customHeight="1">
      <x:c r="A15" s="34" t="str">
        <x:v>Definir playbooks, escalamiento, SLAs y KPIs</x:v>
      </x:c>
      <x:c r="B15" s="53" t="str">
        <x:v>I</x:v>
      </x:c>
      <x:c r="C15" s="68" t="str">
        <x:v>A</x:v>
      </x:c>
      <x:c r="D15" s="69" t="str">
        <x:v>R</x:v>
      </x:c>
      <x:c r="E15" s="53" t="str">
        <x:v>C</x:v>
      </x:c>
      <x:c r="F15" s="53" t="str">
        <x:v>C</x:v>
      </x:c>
      <x:c r="G15" s="53" t="str">
        <x:v>-</x:v>
      </x:c>
      <x:c r="H15" s="53" t="str">
        <x:v>-</x:v>
      </x:c>
    </x:row>
    <x:row r="16" ht="36" customHeight="1">
      <x:c r="A16" s="34" t="str">
        <x:v>Aplicar contención de alto impacto</x:v>
      </x:c>
      <x:c r="B16" s="53" t="str">
        <x:v>I</x:v>
      </x:c>
      <x:c r="C16" s="68" t="str">
        <x:v>A</x:v>
      </x:c>
      <x:c r="D16" s="53" t="str">
        <x:v>C</x:v>
      </x:c>
      <x:c r="E16" s="69" t="str">
        <x:v>R</x:v>
      </x:c>
      <x:c r="F16" s="69" t="str">
        <x:v>R</x:v>
      </x:c>
      <x:c r="G16" s="53" t="str">
        <x:v>C</x:v>
      </x:c>
      <x:c r="H16" s="53" t="str">
        <x:v>C</x:v>
      </x:c>
    </x:row>
    <x:row r="17" ht="36" customHeight="1">
      <x:c r="A17" s="34" t="str">
        <x:v>Capacitar analistas y ejecutar piloto</x:v>
      </x:c>
      <x:c r="B17" s="53" t="str">
        <x:v>I</x:v>
      </x:c>
      <x:c r="C17" s="68" t="str">
        <x:v>A</x:v>
      </x:c>
      <x:c r="D17" s="69" t="str">
        <x:v>R</x:v>
      </x:c>
      <x:c r="E17" s="53" t="str">
        <x:v>C</x:v>
      </x:c>
      <x:c r="F17" s="53" t="str">
        <x:v>C</x:v>
      </x:c>
      <x:c r="G17" s="53" t="str">
        <x:v>-</x:v>
      </x:c>
      <x:c r="H17" s="53" t="str">
        <x:v>C</x:v>
      </x:c>
    </x:row>
    <x:row r="18" ht="36" customHeight="1">
      <x:c r="A18" s="34" t="str">
        <x:v>Controlar presupuesto / TCO y cotizaciones</x:v>
      </x:c>
      <x:c r="B18" s="68" t="str">
        <x:v>A</x:v>
      </x:c>
      <x:c r="C18" s="69" t="str">
        <x:v>R</x:v>
      </x:c>
      <x:c r="D18" s="53" t="str">
        <x:v>C</x:v>
      </x:c>
      <x:c r="E18" s="53" t="str">
        <x:v>C</x:v>
      </x:c>
      <x:c r="F18" s="53" t="str">
        <x:v>C</x:v>
      </x:c>
      <x:c r="G18" s="53" t="str">
        <x:v>C</x:v>
      </x:c>
      <x:c r="H18" s="53" t="str">
        <x:v>C</x:v>
      </x:c>
    </x:row>
    <x:row r="19" ht="36" customHeight="1">
      <x:c r="A19" s="34" t="str">
        <x:v>Autorizar puesta en producción y reporte final</x:v>
      </x:c>
      <x:c r="B19" s="68" t="str">
        <x:v>A</x:v>
      </x:c>
      <x:c r="C19" s="69" t="str">
        <x:v>R</x:v>
      </x:c>
      <x:c r="D19" s="53" t="str">
        <x:v>C</x:v>
      </x:c>
      <x:c r="E19" s="53" t="str">
        <x:v>C</x:v>
      </x:c>
      <x:c r="F19" s="53" t="str">
        <x:v>C</x:v>
      </x:c>
      <x:c r="G19" s="53" t="str">
        <x:v>I</x:v>
      </x:c>
      <x:c r="H19" s="53" t="str">
        <x:v>I</x:v>
      </x:c>
    </x:row>
    <x:row r="21" ht="52" customHeight="1">
      <x:c r="A21" s="72" t="str">
        <x:v>GER: Gerencia | LID: Líder del proyecto/SOC | N1: Analista SOC N1 | N2: Soporte N2 | TI: Administrador TI | NGFW: proveedor perimetral | EDR: proveedor Kaspersky</x:v>
      </x:c>
      <x:c r="B21" s="72"/>
      <x:c r="C21" s="72"/>
      <x:c r="D21" s="72"/>
      <x:c r="E21" s="72"/>
      <x:c r="F21" s="72"/>
      <x:c r="G21" s="72"/>
      <x:c r="H21" s="72"/>
    </x:row>
  </x:sheetData>
  <x:mergeCells>
    <x:mergeCell ref="A1:H1"/>
    <x:mergeCell ref="A2:H2"/>
    <x:mergeCell ref="A21:H21"/>
  </x:mergeCells>
  <x:pageMargins left="0.7" right="0.7" top="0.75" bottom="0.75" header="0.3" footer="0.3"/>
</x:worksheet>
</file>